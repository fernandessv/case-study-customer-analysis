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Samuel\Work\"/>
    </mc:Choice>
  </mc:AlternateContent>
  <xr:revisionPtr revIDLastSave="0" documentId="13_ncr:1_{47B2ADC6-B0CB-4F4B-BC85-FCE8194158DD}" xr6:coauthVersionLast="47" xr6:coauthVersionMax="47" xr10:uidLastSave="{00000000-0000-0000-0000-000000000000}"/>
  <bookViews>
    <workbookView xWindow="-120" yWindow="-120" windowWidth="29040" windowHeight="15840" tabRatio="614" activeTab="1" xr2:uid="{C4D19558-A5AD-464D-9D26-DDBB67629129}"/>
  </bookViews>
  <sheets>
    <sheet name="Summary" sheetId="1" r:id="rId1"/>
    <sheet name="Sheet1" sheetId="9" r:id="rId2"/>
    <sheet name="Dept Data" sheetId="5" r:id="rId3"/>
    <sheet name="Segments" sheetId="6" r:id="rId4"/>
    <sheet name="Profiles" sheetId="7" r:id="rId5"/>
    <sheet name="Departments" sheetId="8" r:id="rId6"/>
  </sheets>
  <calcPr calcId="191029"/>
  <pivotCaches>
    <pivotCache cacheId="1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5" l="1"/>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B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alcChain>
</file>

<file path=xl/sharedStrings.xml><?xml version="1.0" encoding="utf-8"?>
<sst xmlns="http://schemas.openxmlformats.org/spreadsheetml/2006/main" count="795" uniqueCount="62">
  <si>
    <t>ProfileID</t>
  </si>
  <si>
    <t>SegmentID</t>
  </si>
  <si>
    <t>A</t>
  </si>
  <si>
    <t>B</t>
  </si>
  <si>
    <t>Year</t>
  </si>
  <si>
    <t>Sales</t>
  </si>
  <si>
    <t>Customers</t>
  </si>
  <si>
    <t>C</t>
  </si>
  <si>
    <t>D</t>
  </si>
  <si>
    <t>E</t>
  </si>
  <si>
    <t>F</t>
  </si>
  <si>
    <t>G</t>
  </si>
  <si>
    <t>H</t>
  </si>
  <si>
    <t>I</t>
  </si>
  <si>
    <t>J</t>
  </si>
  <si>
    <t>Core Customers</t>
  </si>
  <si>
    <t>Power Shoppers</t>
  </si>
  <si>
    <t>Elite Customers</t>
  </si>
  <si>
    <t>Infrequent Customers</t>
  </si>
  <si>
    <t>New Customers</t>
  </si>
  <si>
    <t>Segment Description</t>
  </si>
  <si>
    <t>Profile Description</t>
  </si>
  <si>
    <t>City Slickers</t>
  </si>
  <si>
    <t>Rich &amp; Richer</t>
  </si>
  <si>
    <t>Blue Collar Royalty</t>
  </si>
  <si>
    <t>Mr. &amp; Mrs. Smiths</t>
  </si>
  <si>
    <t>Pinched Pockets</t>
  </si>
  <si>
    <t>Normal Families</t>
  </si>
  <si>
    <t>Misc</t>
  </si>
  <si>
    <t>Store Use</t>
  </si>
  <si>
    <t>Shirts</t>
  </si>
  <si>
    <t>Women's Jeans</t>
  </si>
  <si>
    <t>Cowboy Hats</t>
  </si>
  <si>
    <t>Boots</t>
  </si>
  <si>
    <t>Boot Accessories</t>
  </si>
  <si>
    <t>Formalwear</t>
  </si>
  <si>
    <t>Knick Knacks</t>
  </si>
  <si>
    <t>Beachwear</t>
  </si>
  <si>
    <t>Project Objective</t>
  </si>
  <si>
    <t>Tasks</t>
  </si>
  <si>
    <t>DepartmentID</t>
  </si>
  <si>
    <t>Department Description</t>
  </si>
  <si>
    <t>Supplemental Datasets</t>
  </si>
  <si>
    <t>The presentation should cover these points, and any other actionable findings:</t>
  </si>
  <si>
    <t>As a reminder, this is an intentionally broad assignment based on simulated data. The goal is to demonstrate your ability to present your analyses, field questions, and generate insights.  Treat this as you would a presentation for a client - be prepared to defend or reject incredible results and to provide positive avenues for growth and improvement.</t>
  </si>
  <si>
    <t>* Based on this data, what marketing efforts or strategies will reinforce positive trends or mitigate negative trends to grow future sales?</t>
  </si>
  <si>
    <t>In the attached sheet are simulated data sets relating to departmental sales over time.  Supplemental (Info) datasets are also included to provide explanatory info for customer traits ("segments" and "profiles"), and departments.</t>
  </si>
  <si>
    <r>
      <rPr>
        <b/>
        <sz val="11"/>
        <color theme="1"/>
        <rFont val="Calibri"/>
        <family val="2"/>
        <scheme val="minor"/>
      </rPr>
      <t>"Dept Data"</t>
    </r>
    <r>
      <rPr>
        <sz val="11"/>
        <color theme="1"/>
        <rFont val="Calibri"/>
        <family val="2"/>
        <scheme val="minor"/>
      </rPr>
      <t xml:space="preserve"> is a data set recording sales by year for a retailer's departments over 2 years, broken out by similar cohorts of customers. Sales and customer counts are aggregated to Department, Year, Segment, and Profile.</t>
    </r>
  </si>
  <si>
    <t>Analyze the data to the best of your ability.  There are no right or wrong answers, this is just to get a feel of how you analyze data sets.  Please make any supplemental assumptions you judge appropriate to add depth to your analysis.</t>
  </si>
  <si>
    <t xml:space="preserve">Please prepare a 20-minute presentation which should be self suffcient, client ready without you being there to present it. It should also still be useful as a presentation tool. </t>
  </si>
  <si>
    <t xml:space="preserve">* Are there any particular groups of customers that are showing notable shifts in their purchasing habits from year to year? </t>
  </si>
  <si>
    <t>* What are the top headlines around YOY trends?</t>
  </si>
  <si>
    <r>
      <t xml:space="preserve">Segments </t>
    </r>
    <r>
      <rPr>
        <sz val="11"/>
        <color theme="1"/>
        <rFont val="Calibri"/>
        <family val="2"/>
        <scheme val="minor"/>
      </rPr>
      <t>- Customers are clustered into like transactional  behavior groups called "segments" based on aspects like tenure, total spend, total transactions, avergare purchase value, etc. over a 12 month period. It is possible for a customer to be classified in different segments for different 12-month periods.  All customers have a segment.</t>
    </r>
  </si>
  <si>
    <r>
      <t xml:space="preserve">Profiles - </t>
    </r>
    <r>
      <rPr>
        <sz val="11"/>
        <color theme="1"/>
        <rFont val="Calibri"/>
        <family val="2"/>
        <scheme val="minor"/>
      </rPr>
      <t>Customers are clustered into like demographic groups called "profiles" based on aspects like age, marital status, childern, income, etc. Profiles are independent of a customer's transactional history and are unlikely to change over time.  Not all customers have a profile.</t>
    </r>
  </si>
  <si>
    <t>Department</t>
  </si>
  <si>
    <t>Segment</t>
  </si>
  <si>
    <t>Profile</t>
  </si>
  <si>
    <t>Row Labels</t>
  </si>
  <si>
    <t>Grand Total</t>
  </si>
  <si>
    <t>Sum of Sales</t>
  </si>
  <si>
    <t>Column Labels</t>
  </si>
  <si>
    <t>NO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</si>
</sst>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applyAlignment="1">
      <alignment wrapText="1"/>
    </xf>
    <xf numFmtId="0" fontId="1" fillId="2" borderId="0" xfId="0" applyFont="1" applyFill="1" applyAlignment="1">
      <alignment wrapText="1"/>
    </xf>
    <xf numFmtId="0" fontId="0" fillId="2" borderId="0" xfId="0" applyFill="1" applyAlignment="1">
      <alignment horizontal="left" wrapText="1" indent="1"/>
    </xf>
    <xf numFmtId="0" fontId="1" fillId="2" borderId="0" xfId="0" applyFont="1" applyFill="1" applyAlignment="1">
      <alignment horizontal="left" wrapText="1"/>
    </xf>
    <xf numFmtId="0" fontId="1" fillId="2" borderId="0" xfId="0" applyFont="1" applyFill="1" applyAlignment="1">
      <alignment horizontal="left" wrapText="1" indent="1"/>
    </xf>
    <xf numFmtId="0" fontId="0" fillId="0" borderId="0" xfId="0" applyAlignment="1">
      <alignment wrapText="1"/>
    </xf>
    <xf numFmtId="0" fontId="0" fillId="2" borderId="0" xfId="0" applyFill="1" applyAlignment="1">
      <alignment horizontal="right" vertical="top" indent="1"/>
    </xf>
    <xf numFmtId="0" fontId="2" fillId="2" borderId="0" xfId="0" applyFont="1" applyFill="1" applyAlignment="1">
      <alignment wrapText="1"/>
    </xf>
    <xf numFmtId="0" fontId="1" fillId="0" borderId="0" xfId="0" applyFont="1" applyAlignment="1">
      <alignment horizontal="left" vertical="top" wrapText="1"/>
    </xf>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Fernandes" refreshedDate="45761.685362268516" createdVersion="8" refreshedVersion="8" minRefreshableVersion="3" recordCount="700" xr:uid="{E3065E09-6961-4A94-9CFE-4CBEA3C735BB}">
  <cacheSource type="worksheet">
    <worksheetSource name="Simulated_Dept_Data"/>
  </cacheSource>
  <cacheFields count="9">
    <cacheField name="DepartmentID" numFmtId="0">
      <sharedItems/>
    </cacheField>
    <cacheField name="Department" numFmtId="0">
      <sharedItems/>
    </cacheField>
    <cacheField name="Year" numFmtId="0">
      <sharedItems containsSemiMixedTypes="0" containsString="0" containsNumber="1" containsInteger="1" minValue="2022" maxValue="2023"/>
    </cacheField>
    <cacheField name="SegmentID" numFmtId="0">
      <sharedItems containsSemiMixedTypes="0" containsString="0" containsNumber="1" containsInteger="1" minValue="1" maxValue="5"/>
    </cacheField>
    <cacheField name="Segment" numFmtId="0">
      <sharedItems count="5">
        <s v="Elite Customers"/>
        <s v="Core Customers"/>
        <s v="Power Shoppers"/>
        <s v="Infrequent Customers"/>
        <s v="New Customers"/>
      </sharedItems>
    </cacheField>
    <cacheField name="ProfileID" numFmtId="0">
      <sharedItems containsString="0" containsBlank="1" containsNumber="1" containsInteger="1" minValue="1" maxValue="6"/>
    </cacheField>
    <cacheField name="Profile" numFmtId="0">
      <sharedItems count="8">
        <s v="NO PROFILE"/>
        <s v="City Slickers"/>
        <s v="Rich &amp; Richer"/>
        <s v="Mr. &amp; Mrs. Smiths"/>
        <s v="Blue Collar Royalty"/>
        <s v="Pinched Pockets"/>
        <s v="Normal Families"/>
        <s v="NOT FOUND" u="1"/>
      </sharedItems>
    </cacheField>
    <cacheField name="Sales" numFmtId="0">
      <sharedItems containsSemiMixedTypes="0" containsString="0" containsNumber="1" minValue="0" maxValue="437896.37"/>
    </cacheField>
    <cacheField name="Customers" numFmtId="0">
      <sharedItems containsSemiMixedTypes="0" containsString="0" containsNumber="1" containsInteger="1" minValue="0" maxValue="606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A"/>
    <s v="Shirts"/>
    <n v="2022"/>
    <n v="1"/>
    <x v="0"/>
    <m/>
    <x v="0"/>
    <n v="1989.77"/>
    <n v="347"/>
  </r>
  <r>
    <s v="A"/>
    <s v="Shirts"/>
    <n v="2022"/>
    <n v="1"/>
    <x v="0"/>
    <n v="1"/>
    <x v="1"/>
    <n v="6270.3"/>
    <n v="616"/>
  </r>
  <r>
    <s v="A"/>
    <s v="Shirts"/>
    <n v="2022"/>
    <n v="1"/>
    <x v="0"/>
    <n v="2"/>
    <x v="2"/>
    <n v="7131.06"/>
    <n v="657"/>
  </r>
  <r>
    <s v="A"/>
    <s v="Shirts"/>
    <n v="2022"/>
    <n v="1"/>
    <x v="0"/>
    <n v="3"/>
    <x v="3"/>
    <n v="7293.91"/>
    <n v="665"/>
  </r>
  <r>
    <s v="A"/>
    <s v="Shirts"/>
    <n v="2022"/>
    <n v="1"/>
    <x v="0"/>
    <n v="4"/>
    <x v="4"/>
    <n v="1995.79"/>
    <n v="348"/>
  </r>
  <r>
    <s v="A"/>
    <s v="Shirts"/>
    <n v="2022"/>
    <n v="1"/>
    <x v="0"/>
    <n v="5"/>
    <x v="5"/>
    <n v="9664.3799999999992"/>
    <n v="765"/>
  </r>
  <r>
    <s v="A"/>
    <s v="Shirts"/>
    <n v="2022"/>
    <n v="1"/>
    <x v="0"/>
    <n v="6"/>
    <x v="6"/>
    <n v="1518.38"/>
    <n v="303"/>
  </r>
  <r>
    <s v="A"/>
    <s v="Shirts"/>
    <n v="2022"/>
    <n v="2"/>
    <x v="1"/>
    <m/>
    <x v="0"/>
    <n v="12049.16"/>
    <n v="829"/>
  </r>
  <r>
    <s v="A"/>
    <s v="Shirts"/>
    <n v="2022"/>
    <n v="2"/>
    <x v="1"/>
    <n v="1"/>
    <x v="1"/>
    <n v="2882.61"/>
    <n v="405"/>
  </r>
  <r>
    <s v="A"/>
    <s v="Shirts"/>
    <n v="2022"/>
    <n v="2"/>
    <x v="1"/>
    <n v="2"/>
    <x v="2"/>
    <n v="4608.67"/>
    <n v="513"/>
  </r>
  <r>
    <s v="A"/>
    <s v="Shirts"/>
    <n v="2022"/>
    <n v="2"/>
    <x v="1"/>
    <n v="3"/>
    <x v="3"/>
    <n v="10086.77"/>
    <n v="758"/>
  </r>
  <r>
    <s v="A"/>
    <s v="Shirts"/>
    <n v="2022"/>
    <n v="2"/>
    <x v="1"/>
    <n v="4"/>
    <x v="4"/>
    <n v="7.09"/>
    <n v="20"/>
  </r>
  <r>
    <s v="A"/>
    <s v="Shirts"/>
    <n v="2022"/>
    <n v="2"/>
    <x v="1"/>
    <n v="5"/>
    <x v="5"/>
    <n v="2095.27"/>
    <n v="346"/>
  </r>
  <r>
    <s v="A"/>
    <s v="Shirts"/>
    <n v="2022"/>
    <n v="2"/>
    <x v="1"/>
    <n v="6"/>
    <x v="6"/>
    <n v="1261.0999999999999"/>
    <n v="268"/>
  </r>
  <r>
    <s v="A"/>
    <s v="Shirts"/>
    <n v="2022"/>
    <n v="3"/>
    <x v="2"/>
    <m/>
    <x v="0"/>
    <n v="2559.19"/>
    <n v="376"/>
  </r>
  <r>
    <s v="A"/>
    <s v="Shirts"/>
    <n v="2022"/>
    <n v="3"/>
    <x v="2"/>
    <n v="1"/>
    <x v="1"/>
    <n v="12255.65"/>
    <n v="822"/>
  </r>
  <r>
    <s v="A"/>
    <s v="Shirts"/>
    <n v="2022"/>
    <n v="3"/>
    <x v="2"/>
    <n v="2"/>
    <x v="2"/>
    <n v="1674.41"/>
    <n v="304"/>
  </r>
  <r>
    <s v="A"/>
    <s v="Shirts"/>
    <n v="2022"/>
    <n v="3"/>
    <x v="2"/>
    <n v="3"/>
    <x v="3"/>
    <n v="240.03"/>
    <n v="115"/>
  </r>
  <r>
    <s v="A"/>
    <s v="Shirts"/>
    <n v="2022"/>
    <n v="3"/>
    <x v="2"/>
    <n v="4"/>
    <x v="4"/>
    <n v="7208.34"/>
    <n v="630"/>
  </r>
  <r>
    <s v="A"/>
    <s v="Shirts"/>
    <n v="2022"/>
    <n v="3"/>
    <x v="2"/>
    <n v="5"/>
    <x v="5"/>
    <n v="2600.6799999999998"/>
    <n v="379"/>
  </r>
  <r>
    <s v="A"/>
    <s v="Shirts"/>
    <n v="2022"/>
    <n v="3"/>
    <x v="2"/>
    <n v="6"/>
    <x v="6"/>
    <n v="75.37"/>
    <n v="64"/>
  </r>
  <r>
    <s v="A"/>
    <s v="Shirts"/>
    <n v="2022"/>
    <n v="4"/>
    <x v="3"/>
    <m/>
    <x v="0"/>
    <n v="2456.7399999999998"/>
    <n v="369"/>
  </r>
  <r>
    <s v="A"/>
    <s v="Shirts"/>
    <n v="2022"/>
    <n v="4"/>
    <x v="3"/>
    <n v="1"/>
    <x v="1"/>
    <n v="9881.91"/>
    <n v="739"/>
  </r>
  <r>
    <s v="A"/>
    <s v="Shirts"/>
    <n v="2022"/>
    <n v="4"/>
    <x v="3"/>
    <n v="2"/>
    <x v="2"/>
    <n v="230.51"/>
    <n v="113"/>
  </r>
  <r>
    <s v="A"/>
    <s v="Shirts"/>
    <n v="2022"/>
    <n v="4"/>
    <x v="3"/>
    <n v="3"/>
    <x v="3"/>
    <n v="1949.04"/>
    <n v="328"/>
  </r>
  <r>
    <s v="A"/>
    <s v="Shirts"/>
    <n v="2022"/>
    <n v="4"/>
    <x v="3"/>
    <n v="4"/>
    <x v="4"/>
    <n v="9214.39"/>
    <n v="714"/>
  </r>
  <r>
    <s v="A"/>
    <s v="Shirts"/>
    <n v="2022"/>
    <n v="4"/>
    <x v="3"/>
    <n v="5"/>
    <x v="5"/>
    <n v="19.62"/>
    <n v="33"/>
  </r>
  <r>
    <s v="A"/>
    <s v="Shirts"/>
    <n v="2022"/>
    <n v="4"/>
    <x v="3"/>
    <n v="6"/>
    <x v="6"/>
    <n v="990.71"/>
    <n v="234"/>
  </r>
  <r>
    <s v="A"/>
    <s v="Shirts"/>
    <n v="2022"/>
    <n v="5"/>
    <x v="4"/>
    <m/>
    <x v="0"/>
    <n v="12282.51"/>
    <n v="804"/>
  </r>
  <r>
    <s v="A"/>
    <s v="Shirts"/>
    <n v="2022"/>
    <n v="5"/>
    <x v="4"/>
    <n v="1"/>
    <x v="1"/>
    <n v="4141.88"/>
    <n v="467"/>
  </r>
  <r>
    <s v="A"/>
    <s v="Shirts"/>
    <n v="2022"/>
    <n v="5"/>
    <x v="4"/>
    <n v="2"/>
    <x v="2"/>
    <n v="8902.07"/>
    <n v="684"/>
  </r>
  <r>
    <s v="A"/>
    <s v="Shirts"/>
    <n v="2022"/>
    <n v="5"/>
    <x v="4"/>
    <n v="3"/>
    <x v="3"/>
    <n v="13617.92"/>
    <n v="846"/>
  </r>
  <r>
    <s v="A"/>
    <s v="Shirts"/>
    <n v="2022"/>
    <n v="5"/>
    <x v="4"/>
    <n v="4"/>
    <x v="4"/>
    <n v="16.97"/>
    <n v="30"/>
  </r>
  <r>
    <s v="A"/>
    <s v="Shirts"/>
    <n v="2022"/>
    <n v="5"/>
    <x v="4"/>
    <n v="5"/>
    <x v="5"/>
    <n v="20.7"/>
    <n v="33"/>
  </r>
  <r>
    <s v="A"/>
    <s v="Shirts"/>
    <n v="2022"/>
    <n v="5"/>
    <x v="4"/>
    <n v="6"/>
    <x v="6"/>
    <n v="103.4"/>
    <n v="74"/>
  </r>
  <r>
    <s v="A"/>
    <s v="Shirts"/>
    <n v="2023"/>
    <n v="1"/>
    <x v="0"/>
    <m/>
    <x v="0"/>
    <n v="2220.17"/>
    <n v="319"/>
  </r>
  <r>
    <s v="A"/>
    <s v="Shirts"/>
    <n v="2023"/>
    <n v="1"/>
    <x v="0"/>
    <n v="1"/>
    <x v="1"/>
    <n v="6996.35"/>
    <n v="567"/>
  </r>
  <r>
    <s v="A"/>
    <s v="Shirts"/>
    <n v="2023"/>
    <n v="1"/>
    <x v="0"/>
    <n v="2"/>
    <x v="2"/>
    <n v="7956.79"/>
    <n v="605"/>
  </r>
  <r>
    <s v="A"/>
    <s v="Shirts"/>
    <n v="2023"/>
    <n v="1"/>
    <x v="0"/>
    <n v="3"/>
    <x v="3"/>
    <n v="8138.5"/>
    <n v="612"/>
  </r>
  <r>
    <s v="A"/>
    <s v="Shirts"/>
    <n v="2023"/>
    <n v="1"/>
    <x v="0"/>
    <n v="4"/>
    <x v="4"/>
    <n v="2226.88"/>
    <n v="320"/>
  </r>
  <r>
    <s v="A"/>
    <s v="Shirts"/>
    <n v="2023"/>
    <n v="1"/>
    <x v="0"/>
    <n v="5"/>
    <x v="5"/>
    <n v="10783.45"/>
    <n v="704"/>
  </r>
  <r>
    <s v="A"/>
    <s v="Shirts"/>
    <n v="2023"/>
    <n v="1"/>
    <x v="0"/>
    <n v="6"/>
    <x v="6"/>
    <n v="1694.2"/>
    <n v="279"/>
  </r>
  <r>
    <s v="A"/>
    <s v="Shirts"/>
    <n v="2023"/>
    <n v="2"/>
    <x v="1"/>
    <m/>
    <x v="0"/>
    <n v="11171.88"/>
    <n v="811"/>
  </r>
  <r>
    <s v="A"/>
    <s v="Shirts"/>
    <n v="2023"/>
    <n v="2"/>
    <x v="1"/>
    <n v="1"/>
    <x v="1"/>
    <n v="2672.74"/>
    <n v="396"/>
  </r>
  <r>
    <s v="A"/>
    <s v="Shirts"/>
    <n v="2023"/>
    <n v="2"/>
    <x v="1"/>
    <n v="2"/>
    <x v="2"/>
    <n v="4273.12"/>
    <n v="501"/>
  </r>
  <r>
    <s v="A"/>
    <s v="Shirts"/>
    <n v="2023"/>
    <n v="2"/>
    <x v="1"/>
    <n v="3"/>
    <x v="3"/>
    <n v="9352.3700000000008"/>
    <n v="742"/>
  </r>
  <r>
    <s v="A"/>
    <s v="Shirts"/>
    <n v="2023"/>
    <n v="2"/>
    <x v="1"/>
    <n v="4"/>
    <x v="4"/>
    <n v="6.58"/>
    <n v="20"/>
  </r>
  <r>
    <s v="A"/>
    <s v="Shirts"/>
    <n v="2023"/>
    <n v="2"/>
    <x v="1"/>
    <n v="5"/>
    <x v="5"/>
    <n v="1942.72"/>
    <n v="338"/>
  </r>
  <r>
    <s v="A"/>
    <s v="Shirts"/>
    <n v="2023"/>
    <n v="2"/>
    <x v="1"/>
    <n v="6"/>
    <x v="6"/>
    <n v="1169.28"/>
    <n v="262"/>
  </r>
  <r>
    <s v="A"/>
    <s v="Shirts"/>
    <n v="2023"/>
    <n v="3"/>
    <x v="2"/>
    <m/>
    <x v="0"/>
    <n v="2468.8000000000002"/>
    <n v="381"/>
  </r>
  <r>
    <s v="A"/>
    <s v="Shirts"/>
    <n v="2023"/>
    <n v="3"/>
    <x v="2"/>
    <n v="1"/>
    <x v="1"/>
    <n v="11822.75"/>
    <n v="833"/>
  </r>
  <r>
    <s v="A"/>
    <s v="Shirts"/>
    <n v="2023"/>
    <n v="3"/>
    <x v="2"/>
    <n v="2"/>
    <x v="2"/>
    <n v="1615.26"/>
    <n v="308"/>
  </r>
  <r>
    <s v="A"/>
    <s v="Shirts"/>
    <n v="2023"/>
    <n v="3"/>
    <x v="2"/>
    <n v="3"/>
    <x v="3"/>
    <n v="231.55"/>
    <n v="117"/>
  </r>
  <r>
    <s v="A"/>
    <s v="Shirts"/>
    <n v="2023"/>
    <n v="3"/>
    <x v="2"/>
    <n v="4"/>
    <x v="4"/>
    <n v="6953.72"/>
    <n v="639"/>
  </r>
  <r>
    <s v="A"/>
    <s v="Shirts"/>
    <n v="2023"/>
    <n v="3"/>
    <x v="2"/>
    <n v="5"/>
    <x v="5"/>
    <n v="2508.8200000000002"/>
    <n v="384"/>
  </r>
  <r>
    <s v="A"/>
    <s v="Shirts"/>
    <n v="2023"/>
    <n v="3"/>
    <x v="2"/>
    <n v="6"/>
    <x v="6"/>
    <n v="72.709999999999994"/>
    <n v="65"/>
  </r>
  <r>
    <s v="A"/>
    <s v="Shirts"/>
    <n v="2023"/>
    <n v="4"/>
    <x v="3"/>
    <m/>
    <x v="0"/>
    <n v="2496.34"/>
    <n v="367"/>
  </r>
  <r>
    <s v="A"/>
    <s v="Shirts"/>
    <n v="2023"/>
    <n v="4"/>
    <x v="3"/>
    <n v="1"/>
    <x v="1"/>
    <n v="10041.209999999999"/>
    <n v="736"/>
  </r>
  <r>
    <s v="A"/>
    <s v="Shirts"/>
    <n v="2023"/>
    <n v="4"/>
    <x v="3"/>
    <n v="2"/>
    <x v="2"/>
    <n v="234.22"/>
    <n v="112"/>
  </r>
  <r>
    <s v="A"/>
    <s v="Shirts"/>
    <n v="2023"/>
    <n v="4"/>
    <x v="3"/>
    <n v="3"/>
    <x v="3"/>
    <n v="1980.46"/>
    <n v="327"/>
  </r>
  <r>
    <s v="A"/>
    <s v="Shirts"/>
    <n v="2023"/>
    <n v="4"/>
    <x v="3"/>
    <n v="4"/>
    <x v="4"/>
    <n v="9362.93"/>
    <n v="711"/>
  </r>
  <r>
    <s v="A"/>
    <s v="Shirts"/>
    <n v="2023"/>
    <n v="4"/>
    <x v="3"/>
    <n v="5"/>
    <x v="5"/>
    <n v="19.93"/>
    <n v="33"/>
  </r>
  <r>
    <s v="A"/>
    <s v="Shirts"/>
    <n v="2023"/>
    <n v="4"/>
    <x v="3"/>
    <n v="6"/>
    <x v="6"/>
    <n v="1006.68"/>
    <n v="233"/>
  </r>
  <r>
    <s v="A"/>
    <s v="Shirts"/>
    <n v="2023"/>
    <n v="5"/>
    <x v="4"/>
    <m/>
    <x v="0"/>
    <n v="14627.55"/>
    <n v="888"/>
  </r>
  <r>
    <s v="A"/>
    <s v="Shirts"/>
    <n v="2023"/>
    <n v="5"/>
    <x v="4"/>
    <n v="1"/>
    <x v="1"/>
    <n v="4932.67"/>
    <n v="516"/>
  </r>
  <r>
    <s v="A"/>
    <s v="Shirts"/>
    <n v="2023"/>
    <n v="5"/>
    <x v="4"/>
    <n v="2"/>
    <x v="2"/>
    <n v="10601.69"/>
    <n v="756"/>
  </r>
  <r>
    <s v="A"/>
    <s v="Shirts"/>
    <n v="2023"/>
    <n v="5"/>
    <x v="4"/>
    <n v="3"/>
    <x v="3"/>
    <n v="16217.92"/>
    <n v="935"/>
  </r>
  <r>
    <s v="A"/>
    <s v="Shirts"/>
    <n v="2023"/>
    <n v="5"/>
    <x v="4"/>
    <n v="4"/>
    <x v="4"/>
    <n v="20.21"/>
    <n v="33"/>
  </r>
  <r>
    <s v="A"/>
    <s v="Shirts"/>
    <n v="2023"/>
    <n v="5"/>
    <x v="4"/>
    <n v="5"/>
    <x v="5"/>
    <n v="24.65"/>
    <n v="36"/>
  </r>
  <r>
    <s v="A"/>
    <s v="Shirts"/>
    <n v="2023"/>
    <n v="5"/>
    <x v="4"/>
    <n v="6"/>
    <x v="6"/>
    <n v="123.14"/>
    <n v="81"/>
  </r>
  <r>
    <s v="B"/>
    <s v="Women's Jeans"/>
    <n v="2022"/>
    <n v="1"/>
    <x v="0"/>
    <m/>
    <x v="0"/>
    <n v="6791.26"/>
    <n v="616"/>
  </r>
  <r>
    <s v="B"/>
    <s v="Women's Jeans"/>
    <n v="2022"/>
    <n v="1"/>
    <x v="0"/>
    <n v="1"/>
    <x v="1"/>
    <n v="21401.119999999999"/>
    <n v="1093"/>
  </r>
  <r>
    <s v="B"/>
    <s v="Women's Jeans"/>
    <n v="2022"/>
    <n v="1"/>
    <x v="0"/>
    <n v="2"/>
    <x v="2"/>
    <n v="24338.99"/>
    <n v="1166"/>
  </r>
  <r>
    <s v="B"/>
    <s v="Women's Jeans"/>
    <n v="2022"/>
    <n v="1"/>
    <x v="0"/>
    <n v="3"/>
    <x v="3"/>
    <n v="24894.83"/>
    <n v="1179"/>
  </r>
  <r>
    <s v="B"/>
    <s v="Women's Jeans"/>
    <n v="2022"/>
    <n v="1"/>
    <x v="0"/>
    <n v="4"/>
    <x v="4"/>
    <n v="6811.81"/>
    <n v="617"/>
  </r>
  <r>
    <s v="B"/>
    <s v="Women's Jeans"/>
    <n v="2022"/>
    <n v="1"/>
    <x v="0"/>
    <n v="5"/>
    <x v="5"/>
    <n v="32985.46"/>
    <n v="1358"/>
  </r>
  <r>
    <s v="B"/>
    <s v="Women's Jeans"/>
    <n v="2022"/>
    <n v="1"/>
    <x v="0"/>
    <n v="6"/>
    <x v="6"/>
    <n v="5182.3900000000003"/>
    <n v="538"/>
  </r>
  <r>
    <s v="B"/>
    <s v="Women's Jeans"/>
    <n v="2022"/>
    <n v="2"/>
    <x v="1"/>
    <m/>
    <x v="0"/>
    <n v="31260.34"/>
    <n v="1282"/>
  </r>
  <r>
    <s v="B"/>
    <s v="Women's Jeans"/>
    <n v="2022"/>
    <n v="2"/>
    <x v="1"/>
    <n v="1"/>
    <x v="1"/>
    <n v="7478.65"/>
    <n v="627"/>
  </r>
  <r>
    <s v="B"/>
    <s v="Women's Jeans"/>
    <n v="2022"/>
    <n v="2"/>
    <x v="1"/>
    <n v="2"/>
    <x v="2"/>
    <n v="11956.73"/>
    <n v="793"/>
  </r>
  <r>
    <s v="B"/>
    <s v="Women's Jeans"/>
    <n v="2022"/>
    <n v="2"/>
    <x v="1"/>
    <n v="3"/>
    <x v="3"/>
    <n v="26169.1"/>
    <n v="1173"/>
  </r>
  <r>
    <s v="B"/>
    <s v="Women's Jeans"/>
    <n v="2022"/>
    <n v="2"/>
    <x v="1"/>
    <n v="4"/>
    <x v="4"/>
    <n v="18.41"/>
    <n v="31"/>
  </r>
  <r>
    <s v="B"/>
    <s v="Women's Jeans"/>
    <n v="2022"/>
    <n v="2"/>
    <x v="1"/>
    <n v="5"/>
    <x v="5"/>
    <n v="5435.98"/>
    <n v="534"/>
  </r>
  <r>
    <s v="B"/>
    <s v="Women's Jeans"/>
    <n v="2022"/>
    <n v="2"/>
    <x v="1"/>
    <n v="6"/>
    <x v="6"/>
    <n v="3271.79"/>
    <n v="415"/>
  </r>
  <r>
    <s v="B"/>
    <s v="Women's Jeans"/>
    <n v="2022"/>
    <n v="3"/>
    <x v="2"/>
    <m/>
    <x v="0"/>
    <n v="4878.62"/>
    <n v="498"/>
  </r>
  <r>
    <s v="B"/>
    <s v="Women's Jeans"/>
    <n v="2022"/>
    <n v="3"/>
    <x v="2"/>
    <n v="1"/>
    <x v="1"/>
    <n v="23363.08"/>
    <n v="1090"/>
  </r>
  <r>
    <s v="B"/>
    <s v="Women's Jeans"/>
    <n v="2022"/>
    <n v="3"/>
    <x v="2"/>
    <n v="2"/>
    <x v="2"/>
    <n v="3191.94"/>
    <n v="403"/>
  </r>
  <r>
    <s v="B"/>
    <s v="Women's Jeans"/>
    <n v="2022"/>
    <n v="3"/>
    <x v="2"/>
    <n v="3"/>
    <x v="3"/>
    <n v="457.57"/>
    <n v="153"/>
  </r>
  <r>
    <s v="B"/>
    <s v="Women's Jeans"/>
    <n v="2022"/>
    <n v="3"/>
    <x v="2"/>
    <n v="4"/>
    <x v="4"/>
    <n v="13741.33"/>
    <n v="836"/>
  </r>
  <r>
    <s v="B"/>
    <s v="Women's Jeans"/>
    <n v="2022"/>
    <n v="3"/>
    <x v="2"/>
    <n v="5"/>
    <x v="5"/>
    <n v="4957.71"/>
    <n v="502"/>
  </r>
  <r>
    <s v="B"/>
    <s v="Women's Jeans"/>
    <n v="2022"/>
    <n v="3"/>
    <x v="2"/>
    <n v="6"/>
    <x v="6"/>
    <n v="143.69"/>
    <n v="85"/>
  </r>
  <r>
    <s v="B"/>
    <s v="Women's Jeans"/>
    <n v="2022"/>
    <n v="4"/>
    <x v="3"/>
    <m/>
    <x v="0"/>
    <n v="7009.74"/>
    <n v="598"/>
  </r>
  <r>
    <s v="B"/>
    <s v="Women's Jeans"/>
    <n v="2022"/>
    <n v="4"/>
    <x v="3"/>
    <n v="1"/>
    <x v="1"/>
    <n v="28195.79"/>
    <n v="1199"/>
  </r>
  <r>
    <s v="B"/>
    <s v="Women's Jeans"/>
    <n v="2022"/>
    <n v="4"/>
    <x v="3"/>
    <n v="2"/>
    <x v="2"/>
    <n v="657.7"/>
    <n v="183"/>
  </r>
  <r>
    <s v="B"/>
    <s v="Women's Jeans"/>
    <n v="2022"/>
    <n v="4"/>
    <x v="3"/>
    <n v="3"/>
    <x v="3"/>
    <n v="5561.14"/>
    <n v="533"/>
  </r>
  <r>
    <s v="B"/>
    <s v="Women's Jeans"/>
    <n v="2022"/>
    <n v="4"/>
    <x v="3"/>
    <n v="4"/>
    <x v="4"/>
    <n v="26291.18"/>
    <n v="1158"/>
  </r>
  <r>
    <s v="B"/>
    <s v="Women's Jeans"/>
    <n v="2022"/>
    <n v="4"/>
    <x v="3"/>
    <n v="5"/>
    <x v="5"/>
    <n v="55.97"/>
    <n v="53"/>
  </r>
  <r>
    <s v="B"/>
    <s v="Women's Jeans"/>
    <n v="2022"/>
    <n v="4"/>
    <x v="3"/>
    <n v="6"/>
    <x v="6"/>
    <n v="2826.76"/>
    <n v="380"/>
  </r>
  <r>
    <s v="B"/>
    <s v="Women's Jeans"/>
    <n v="2022"/>
    <n v="5"/>
    <x v="4"/>
    <m/>
    <x v="0"/>
    <n v="29342.75"/>
    <n v="1193"/>
  </r>
  <r>
    <s v="B"/>
    <s v="Women's Jeans"/>
    <n v="2022"/>
    <n v="5"/>
    <x v="4"/>
    <n v="1"/>
    <x v="1"/>
    <n v="9894.89"/>
    <n v="693"/>
  </r>
  <r>
    <s v="B"/>
    <s v="Women's Jeans"/>
    <n v="2022"/>
    <n v="5"/>
    <x v="4"/>
    <n v="2"/>
    <x v="2"/>
    <n v="21266.92"/>
    <n v="1016"/>
  </r>
  <r>
    <s v="B"/>
    <s v="Women's Jeans"/>
    <n v="2022"/>
    <n v="5"/>
    <x v="4"/>
    <n v="3"/>
    <x v="3"/>
    <n v="32533.02"/>
    <n v="1256"/>
  </r>
  <r>
    <s v="B"/>
    <s v="Women's Jeans"/>
    <n v="2022"/>
    <n v="5"/>
    <x v="4"/>
    <n v="4"/>
    <x v="4"/>
    <n v="40.549999999999997"/>
    <n v="44"/>
  </r>
  <r>
    <s v="B"/>
    <s v="Women's Jeans"/>
    <n v="2022"/>
    <n v="5"/>
    <x v="4"/>
    <n v="5"/>
    <x v="5"/>
    <n v="49.45"/>
    <n v="49"/>
  </r>
  <r>
    <s v="B"/>
    <s v="Women's Jeans"/>
    <n v="2022"/>
    <n v="5"/>
    <x v="4"/>
    <n v="6"/>
    <x v="6"/>
    <n v="247.01"/>
    <n v="109"/>
  </r>
  <r>
    <s v="B"/>
    <s v="Women's Jeans"/>
    <n v="2023"/>
    <n v="1"/>
    <x v="0"/>
    <m/>
    <x v="0"/>
    <n v="6110.94"/>
    <n v="509"/>
  </r>
  <r>
    <s v="B"/>
    <s v="Women's Jeans"/>
    <n v="2023"/>
    <n v="1"/>
    <x v="0"/>
    <n v="1"/>
    <x v="1"/>
    <n v="19257.240000000002"/>
    <n v="903"/>
  </r>
  <r>
    <s v="B"/>
    <s v="Women's Jeans"/>
    <n v="2023"/>
    <n v="1"/>
    <x v="0"/>
    <n v="2"/>
    <x v="2"/>
    <n v="21900.799999999999"/>
    <n v="963"/>
  </r>
  <r>
    <s v="B"/>
    <s v="Women's Jeans"/>
    <n v="2023"/>
    <n v="1"/>
    <x v="0"/>
    <n v="3"/>
    <x v="3"/>
    <n v="22400.95"/>
    <n v="974"/>
  </r>
  <r>
    <s v="B"/>
    <s v="Women's Jeans"/>
    <n v="2023"/>
    <n v="1"/>
    <x v="0"/>
    <n v="4"/>
    <x v="4"/>
    <n v="6129.43"/>
    <n v="510"/>
  </r>
  <r>
    <s v="B"/>
    <s v="Women's Jeans"/>
    <n v="2023"/>
    <n v="1"/>
    <x v="0"/>
    <n v="5"/>
    <x v="5"/>
    <n v="29681.1"/>
    <n v="1121"/>
  </r>
  <r>
    <s v="B"/>
    <s v="Women's Jeans"/>
    <n v="2023"/>
    <n v="1"/>
    <x v="0"/>
    <n v="6"/>
    <x v="6"/>
    <n v="4663.24"/>
    <n v="444"/>
  </r>
  <r>
    <s v="B"/>
    <s v="Women's Jeans"/>
    <n v="2023"/>
    <n v="2"/>
    <x v="1"/>
    <m/>
    <x v="0"/>
    <n v="23374.21"/>
    <n v="1126"/>
  </r>
  <r>
    <s v="B"/>
    <s v="Women's Jeans"/>
    <n v="2023"/>
    <n v="2"/>
    <x v="1"/>
    <n v="1"/>
    <x v="1"/>
    <n v="5591.99"/>
    <n v="551"/>
  </r>
  <r>
    <s v="B"/>
    <s v="Women's Jeans"/>
    <n v="2023"/>
    <n v="2"/>
    <x v="1"/>
    <n v="2"/>
    <x v="2"/>
    <n v="8940.3700000000008"/>
    <n v="696"/>
  </r>
  <r>
    <s v="B"/>
    <s v="Women's Jeans"/>
    <n v="2023"/>
    <n v="2"/>
    <x v="1"/>
    <n v="3"/>
    <x v="3"/>
    <n v="19567.349999999999"/>
    <n v="1030"/>
  </r>
  <r>
    <s v="B"/>
    <s v="Women's Jeans"/>
    <n v="2023"/>
    <n v="2"/>
    <x v="1"/>
    <n v="4"/>
    <x v="4"/>
    <n v="13.76"/>
    <n v="27"/>
  </r>
  <r>
    <s v="B"/>
    <s v="Women's Jeans"/>
    <n v="2023"/>
    <n v="2"/>
    <x v="1"/>
    <n v="5"/>
    <x v="5"/>
    <n v="4064.63"/>
    <n v="469"/>
  </r>
  <r>
    <s v="B"/>
    <s v="Women's Jeans"/>
    <n v="2023"/>
    <n v="2"/>
    <x v="1"/>
    <n v="6"/>
    <x v="6"/>
    <n v="2446.41"/>
    <n v="364"/>
  </r>
  <r>
    <s v="B"/>
    <s v="Women's Jeans"/>
    <n v="2023"/>
    <n v="3"/>
    <x v="2"/>
    <m/>
    <x v="0"/>
    <n v="3795.36"/>
    <n v="453"/>
  </r>
  <r>
    <s v="B"/>
    <s v="Women's Jeans"/>
    <n v="2023"/>
    <n v="3"/>
    <x v="2"/>
    <n v="1"/>
    <x v="1"/>
    <n v="18175.48"/>
    <n v="992"/>
  </r>
  <r>
    <s v="B"/>
    <s v="Women's Jeans"/>
    <n v="2023"/>
    <n v="3"/>
    <x v="2"/>
    <n v="2"/>
    <x v="2"/>
    <n v="2483.19"/>
    <n v="367"/>
  </r>
  <r>
    <s v="B"/>
    <s v="Women's Jeans"/>
    <n v="2023"/>
    <n v="3"/>
    <x v="2"/>
    <n v="3"/>
    <x v="3"/>
    <n v="355.97"/>
    <n v="139"/>
  </r>
  <r>
    <s v="B"/>
    <s v="Women's Jeans"/>
    <n v="2023"/>
    <n v="3"/>
    <x v="2"/>
    <n v="4"/>
    <x v="4"/>
    <n v="10690.17"/>
    <n v="761"/>
  </r>
  <r>
    <s v="B"/>
    <s v="Women's Jeans"/>
    <n v="2023"/>
    <n v="3"/>
    <x v="2"/>
    <n v="5"/>
    <x v="5"/>
    <n v="3856.89"/>
    <n v="457"/>
  </r>
  <r>
    <s v="B"/>
    <s v="Women's Jeans"/>
    <n v="2023"/>
    <n v="3"/>
    <x v="2"/>
    <n v="6"/>
    <x v="6"/>
    <n v="111.78"/>
    <n v="78"/>
  </r>
  <r>
    <s v="B"/>
    <s v="Women's Jeans"/>
    <n v="2023"/>
    <n v="4"/>
    <x v="3"/>
    <m/>
    <x v="0"/>
    <n v="5744.09"/>
    <n v="535"/>
  </r>
  <r>
    <s v="B"/>
    <s v="Women's Jeans"/>
    <n v="2023"/>
    <n v="4"/>
    <x v="3"/>
    <n v="1"/>
    <x v="1"/>
    <n v="23104.86"/>
    <n v="1073"/>
  </r>
  <r>
    <s v="B"/>
    <s v="Women's Jeans"/>
    <n v="2023"/>
    <n v="4"/>
    <x v="3"/>
    <n v="2"/>
    <x v="2"/>
    <n v="538.95000000000005"/>
    <n v="164"/>
  </r>
  <r>
    <s v="B"/>
    <s v="Women's Jeans"/>
    <n v="2023"/>
    <n v="4"/>
    <x v="3"/>
    <n v="3"/>
    <x v="3"/>
    <n v="4557.04"/>
    <n v="476"/>
  </r>
  <r>
    <s v="B"/>
    <s v="Women's Jeans"/>
    <n v="2023"/>
    <n v="4"/>
    <x v="3"/>
    <n v="4"/>
    <x v="4"/>
    <n v="21544.14"/>
    <n v="1036"/>
  </r>
  <r>
    <s v="B"/>
    <s v="Women's Jeans"/>
    <n v="2023"/>
    <n v="4"/>
    <x v="3"/>
    <n v="5"/>
    <x v="5"/>
    <n v="45.86"/>
    <n v="48"/>
  </r>
  <r>
    <s v="B"/>
    <s v="Women's Jeans"/>
    <n v="2023"/>
    <n v="4"/>
    <x v="3"/>
    <n v="6"/>
    <x v="6"/>
    <n v="2316.37"/>
    <n v="340"/>
  </r>
  <r>
    <s v="B"/>
    <s v="Women's Jeans"/>
    <n v="2023"/>
    <n v="5"/>
    <x v="4"/>
    <m/>
    <x v="0"/>
    <n v="28181.16"/>
    <n v="1183"/>
  </r>
  <r>
    <s v="B"/>
    <s v="Women's Jeans"/>
    <n v="2023"/>
    <n v="5"/>
    <x v="4"/>
    <n v="1"/>
    <x v="1"/>
    <n v="9503.18"/>
    <n v="687"/>
  </r>
  <r>
    <s v="B"/>
    <s v="Women's Jeans"/>
    <n v="2023"/>
    <n v="5"/>
    <x v="4"/>
    <n v="2"/>
    <x v="2"/>
    <n v="20425.03"/>
    <n v="1007"/>
  </r>
  <r>
    <s v="B"/>
    <s v="Women's Jeans"/>
    <n v="2023"/>
    <n v="5"/>
    <x v="4"/>
    <n v="3"/>
    <x v="3"/>
    <n v="31245.14"/>
    <n v="1246"/>
  </r>
  <r>
    <s v="B"/>
    <s v="Women's Jeans"/>
    <n v="2023"/>
    <n v="5"/>
    <x v="4"/>
    <n v="4"/>
    <x v="4"/>
    <n v="38.94"/>
    <n v="44"/>
  </r>
  <r>
    <s v="B"/>
    <s v="Women's Jeans"/>
    <n v="2023"/>
    <n v="5"/>
    <x v="4"/>
    <n v="5"/>
    <x v="5"/>
    <n v="47.49"/>
    <n v="49"/>
  </r>
  <r>
    <s v="B"/>
    <s v="Women's Jeans"/>
    <n v="2023"/>
    <n v="5"/>
    <x v="4"/>
    <n v="6"/>
    <x v="6"/>
    <n v="237.23"/>
    <n v="109"/>
  </r>
  <r>
    <s v="C"/>
    <s v="Cowboy Hats"/>
    <n v="2022"/>
    <n v="1"/>
    <x v="0"/>
    <m/>
    <x v="0"/>
    <n v="10750.65"/>
    <n v="1778"/>
  </r>
  <r>
    <s v="C"/>
    <s v="Cowboy Hats"/>
    <n v="2022"/>
    <n v="1"/>
    <x v="0"/>
    <n v="1"/>
    <x v="1"/>
    <n v="33878.25"/>
    <n v="3157"/>
  </r>
  <r>
    <s v="C"/>
    <s v="Cowboy Hats"/>
    <n v="2022"/>
    <n v="1"/>
    <x v="0"/>
    <n v="2"/>
    <x v="2"/>
    <n v="38528.93"/>
    <n v="3366"/>
  </r>
  <r>
    <s v="C"/>
    <s v="Cowboy Hats"/>
    <n v="2022"/>
    <n v="1"/>
    <x v="0"/>
    <n v="3"/>
    <x v="3"/>
    <n v="39408.83"/>
    <n v="3405"/>
  </r>
  <r>
    <s v="C"/>
    <s v="Cowboy Hats"/>
    <n v="2022"/>
    <n v="1"/>
    <x v="0"/>
    <n v="4"/>
    <x v="4"/>
    <n v="10783.18"/>
    <n v="1781"/>
  </r>
  <r>
    <s v="C"/>
    <s v="Cowboy Hats"/>
    <n v="2022"/>
    <n v="1"/>
    <x v="0"/>
    <n v="5"/>
    <x v="5"/>
    <n v="52216.4"/>
    <n v="3919"/>
  </r>
  <r>
    <s v="C"/>
    <s v="Cowboy Hats"/>
    <n v="2022"/>
    <n v="1"/>
    <x v="0"/>
    <n v="6"/>
    <x v="6"/>
    <n v="8203.7999999999993"/>
    <n v="1553"/>
  </r>
  <r>
    <s v="C"/>
    <s v="Cowboy Hats"/>
    <n v="2022"/>
    <n v="2"/>
    <x v="1"/>
    <m/>
    <x v="0"/>
    <n v="53317.77"/>
    <n v="3840"/>
  </r>
  <r>
    <s v="C"/>
    <s v="Cowboy Hats"/>
    <n v="2022"/>
    <n v="2"/>
    <x v="1"/>
    <n v="1"/>
    <x v="1"/>
    <n v="12755.62"/>
    <n v="1878"/>
  </r>
  <r>
    <s v="C"/>
    <s v="Cowboy Hats"/>
    <n v="2022"/>
    <n v="2"/>
    <x v="1"/>
    <n v="2"/>
    <x v="2"/>
    <n v="20393.45"/>
    <n v="2375"/>
  </r>
  <r>
    <s v="C"/>
    <s v="Cowboy Hats"/>
    <n v="2022"/>
    <n v="2"/>
    <x v="1"/>
    <n v="3"/>
    <x v="3"/>
    <n v="44634.14"/>
    <n v="3514"/>
  </r>
  <r>
    <s v="C"/>
    <s v="Cowboy Hats"/>
    <n v="2022"/>
    <n v="2"/>
    <x v="1"/>
    <n v="4"/>
    <x v="4"/>
    <n v="31.4"/>
    <n v="93"/>
  </r>
  <r>
    <s v="C"/>
    <s v="Cowboy Hats"/>
    <n v="2022"/>
    <n v="2"/>
    <x v="1"/>
    <n v="5"/>
    <x v="5"/>
    <n v="9271.6299999999992"/>
    <n v="1602"/>
  </r>
  <r>
    <s v="C"/>
    <s v="Cowboy Hats"/>
    <n v="2022"/>
    <n v="2"/>
    <x v="1"/>
    <n v="6"/>
    <x v="6"/>
    <n v="5580.38"/>
    <n v="1242"/>
  </r>
  <r>
    <s v="C"/>
    <s v="Cowboy Hats"/>
    <n v="2022"/>
    <n v="3"/>
    <x v="2"/>
    <m/>
    <x v="0"/>
    <n v="14267.77"/>
    <n v="1954"/>
  </r>
  <r>
    <s v="C"/>
    <s v="Cowboy Hats"/>
    <n v="2022"/>
    <n v="3"/>
    <x v="2"/>
    <n v="1"/>
    <x v="1"/>
    <n v="68326.559999999998"/>
    <n v="4276"/>
  </r>
  <r>
    <s v="C"/>
    <s v="Cowboy Hats"/>
    <n v="2022"/>
    <n v="3"/>
    <x v="2"/>
    <n v="2"/>
    <x v="2"/>
    <n v="9335"/>
    <n v="1581"/>
  </r>
  <r>
    <s v="C"/>
    <s v="Cowboy Hats"/>
    <n v="2022"/>
    <n v="3"/>
    <x v="2"/>
    <n v="3"/>
    <x v="3"/>
    <n v="1338.2"/>
    <n v="598"/>
  </r>
  <r>
    <s v="C"/>
    <s v="Cowboy Hats"/>
    <n v="2022"/>
    <n v="3"/>
    <x v="2"/>
    <n v="4"/>
    <x v="4"/>
    <n v="40187.269999999997"/>
    <n v="3280"/>
  </r>
  <r>
    <s v="C"/>
    <s v="Cowboy Hats"/>
    <n v="2022"/>
    <n v="3"/>
    <x v="2"/>
    <n v="5"/>
    <x v="5"/>
    <n v="14499.09"/>
    <n v="1970"/>
  </r>
  <r>
    <s v="C"/>
    <s v="Cowboy Hats"/>
    <n v="2022"/>
    <n v="3"/>
    <x v="2"/>
    <n v="6"/>
    <x v="6"/>
    <n v="420.22"/>
    <n v="335"/>
  </r>
  <r>
    <s v="C"/>
    <s v="Cowboy Hats"/>
    <n v="2022"/>
    <n v="4"/>
    <x v="3"/>
    <m/>
    <x v="0"/>
    <n v="21042.400000000001"/>
    <n v="2377"/>
  </r>
  <r>
    <s v="C"/>
    <s v="Cowboy Hats"/>
    <n v="2022"/>
    <n v="4"/>
    <x v="3"/>
    <n v="1"/>
    <x v="1"/>
    <n v="84640.39"/>
    <n v="4767"/>
  </r>
  <r>
    <s v="C"/>
    <s v="Cowboy Hats"/>
    <n v="2022"/>
    <n v="4"/>
    <x v="3"/>
    <n v="2"/>
    <x v="2"/>
    <n v="1974.34"/>
    <n v="728"/>
  </r>
  <r>
    <s v="C"/>
    <s v="Cowboy Hats"/>
    <n v="2022"/>
    <n v="4"/>
    <x v="3"/>
    <n v="3"/>
    <x v="3"/>
    <n v="16693.86"/>
    <n v="2117"/>
  </r>
  <r>
    <s v="C"/>
    <s v="Cowboy Hats"/>
    <n v="2022"/>
    <n v="4"/>
    <x v="3"/>
    <n v="4"/>
    <x v="4"/>
    <n v="78922.98"/>
    <n v="4603"/>
  </r>
  <r>
    <s v="C"/>
    <s v="Cowboy Hats"/>
    <n v="2022"/>
    <n v="4"/>
    <x v="3"/>
    <n v="5"/>
    <x v="5"/>
    <n v="168.01"/>
    <n v="212"/>
  </r>
  <r>
    <s v="C"/>
    <s v="Cowboy Hats"/>
    <n v="2022"/>
    <n v="4"/>
    <x v="3"/>
    <n v="6"/>
    <x v="6"/>
    <n v="8485.6"/>
    <n v="1509"/>
  </r>
  <r>
    <s v="C"/>
    <s v="Cowboy Hats"/>
    <n v="2022"/>
    <n v="5"/>
    <x v="4"/>
    <m/>
    <x v="0"/>
    <n v="86981.07"/>
    <n v="4712"/>
  </r>
  <r>
    <s v="C"/>
    <s v="Cowboy Hats"/>
    <n v="2022"/>
    <n v="5"/>
    <x v="4"/>
    <n v="1"/>
    <x v="1"/>
    <n v="29331.54"/>
    <n v="2736"/>
  </r>
  <r>
    <s v="C"/>
    <s v="Cowboy Hats"/>
    <n v="2022"/>
    <n v="5"/>
    <x v="4"/>
    <n v="2"/>
    <x v="2"/>
    <n v="63041.78"/>
    <n v="4012"/>
  </r>
  <r>
    <s v="C"/>
    <s v="Cowboy Hats"/>
    <n v="2022"/>
    <n v="5"/>
    <x v="4"/>
    <n v="3"/>
    <x v="3"/>
    <n v="96438.02"/>
    <n v="4962"/>
  </r>
  <r>
    <s v="C"/>
    <s v="Cowboy Hats"/>
    <n v="2022"/>
    <n v="5"/>
    <x v="4"/>
    <n v="4"/>
    <x v="4"/>
    <n v="120.2"/>
    <n v="175"/>
  </r>
  <r>
    <s v="C"/>
    <s v="Cowboy Hats"/>
    <n v="2022"/>
    <n v="5"/>
    <x v="4"/>
    <n v="5"/>
    <x v="5"/>
    <n v="146.58000000000001"/>
    <n v="193"/>
  </r>
  <r>
    <s v="C"/>
    <s v="Cowboy Hats"/>
    <n v="2022"/>
    <n v="5"/>
    <x v="4"/>
    <n v="6"/>
    <x v="6"/>
    <n v="732.21"/>
    <n v="432"/>
  </r>
  <r>
    <s v="C"/>
    <s v="Cowboy Hats"/>
    <n v="2023"/>
    <n v="1"/>
    <x v="0"/>
    <m/>
    <x v="0"/>
    <n v="11320.92"/>
    <n v="1589"/>
  </r>
  <r>
    <s v="C"/>
    <s v="Cowboy Hats"/>
    <n v="2023"/>
    <n v="1"/>
    <x v="0"/>
    <n v="1"/>
    <x v="1"/>
    <n v="35675.32"/>
    <n v="2821"/>
  </r>
  <r>
    <s v="C"/>
    <s v="Cowboy Hats"/>
    <n v="2023"/>
    <n v="1"/>
    <x v="0"/>
    <n v="2"/>
    <x v="2"/>
    <n v="40572.699999999997"/>
    <n v="3008"/>
  </r>
  <r>
    <s v="C"/>
    <s v="Cowboy Hats"/>
    <n v="2023"/>
    <n v="1"/>
    <x v="0"/>
    <n v="3"/>
    <x v="3"/>
    <n v="41499.269999999997"/>
    <n v="3043"/>
  </r>
  <r>
    <s v="C"/>
    <s v="Cowboy Hats"/>
    <n v="2023"/>
    <n v="1"/>
    <x v="0"/>
    <n v="4"/>
    <x v="4"/>
    <n v="11355.17"/>
    <n v="1592"/>
  </r>
  <r>
    <s v="C"/>
    <s v="Cowboy Hats"/>
    <n v="2023"/>
    <n v="1"/>
    <x v="0"/>
    <n v="5"/>
    <x v="5"/>
    <n v="54986.22"/>
    <n v="3502"/>
  </r>
  <r>
    <s v="C"/>
    <s v="Cowboy Hats"/>
    <n v="2023"/>
    <n v="1"/>
    <x v="0"/>
    <n v="6"/>
    <x v="6"/>
    <n v="8638.9699999999993"/>
    <n v="1388"/>
  </r>
  <r>
    <s v="C"/>
    <s v="Cowboy Hats"/>
    <n v="2023"/>
    <n v="2"/>
    <x v="1"/>
    <m/>
    <x v="0"/>
    <n v="46655.7"/>
    <n v="3649"/>
  </r>
  <r>
    <s v="C"/>
    <s v="Cowboy Hats"/>
    <n v="2023"/>
    <n v="2"/>
    <x v="1"/>
    <n v="1"/>
    <x v="1"/>
    <n v="11161.8"/>
    <n v="1785"/>
  </r>
  <r>
    <s v="C"/>
    <s v="Cowboy Hats"/>
    <n v="2023"/>
    <n v="2"/>
    <x v="1"/>
    <n v="2"/>
    <x v="2"/>
    <n v="17845.29"/>
    <n v="2257"/>
  </r>
  <r>
    <s v="C"/>
    <s v="Cowboy Hats"/>
    <n v="2023"/>
    <n v="2"/>
    <x v="1"/>
    <n v="3"/>
    <x v="3"/>
    <n v="39057.089999999997"/>
    <n v="3339"/>
  </r>
  <r>
    <s v="C"/>
    <s v="Cowboy Hats"/>
    <n v="2023"/>
    <n v="2"/>
    <x v="1"/>
    <n v="4"/>
    <x v="4"/>
    <n v="27.47"/>
    <n v="89"/>
  </r>
  <r>
    <s v="C"/>
    <s v="Cowboy Hats"/>
    <n v="2023"/>
    <n v="2"/>
    <x v="1"/>
    <n v="5"/>
    <x v="5"/>
    <n v="8113.14"/>
    <n v="1522"/>
  </r>
  <r>
    <s v="C"/>
    <s v="Cowboy Hats"/>
    <n v="2023"/>
    <n v="2"/>
    <x v="1"/>
    <n v="6"/>
    <x v="6"/>
    <n v="4883.1099999999997"/>
    <n v="1181"/>
  </r>
  <r>
    <s v="C"/>
    <s v="Cowboy Hats"/>
    <n v="2023"/>
    <n v="3"/>
    <x v="2"/>
    <m/>
    <x v="0"/>
    <n v="12989.77"/>
    <n v="1924"/>
  </r>
  <r>
    <s v="C"/>
    <s v="Cowboy Hats"/>
    <n v="2023"/>
    <n v="3"/>
    <x v="2"/>
    <n v="1"/>
    <x v="1"/>
    <n v="62206.39"/>
    <n v="4210"/>
  </r>
  <r>
    <s v="C"/>
    <s v="Cowboy Hats"/>
    <n v="2023"/>
    <n v="3"/>
    <x v="2"/>
    <n v="2"/>
    <x v="2"/>
    <n v="8498.84"/>
    <n v="1556"/>
  </r>
  <r>
    <s v="C"/>
    <s v="Cowboy Hats"/>
    <n v="2023"/>
    <n v="3"/>
    <x v="2"/>
    <n v="3"/>
    <x v="3"/>
    <n v="1218.33"/>
    <n v="589"/>
  </r>
  <r>
    <s v="C"/>
    <s v="Cowboy Hats"/>
    <n v="2023"/>
    <n v="3"/>
    <x v="2"/>
    <n v="4"/>
    <x v="4"/>
    <n v="36587.599999999999"/>
    <n v="3229"/>
  </r>
  <r>
    <s v="C"/>
    <s v="Cowboy Hats"/>
    <n v="2023"/>
    <n v="3"/>
    <x v="2"/>
    <n v="5"/>
    <x v="5"/>
    <n v="13200.37"/>
    <n v="1939"/>
  </r>
  <r>
    <s v="C"/>
    <s v="Cowboy Hats"/>
    <n v="2023"/>
    <n v="3"/>
    <x v="2"/>
    <n v="6"/>
    <x v="6"/>
    <n v="382.58"/>
    <n v="330"/>
  </r>
  <r>
    <s v="C"/>
    <s v="Cowboy Hats"/>
    <n v="2023"/>
    <n v="4"/>
    <x v="3"/>
    <m/>
    <x v="0"/>
    <n v="20179.189999999999"/>
    <n v="2300"/>
  </r>
  <r>
    <s v="C"/>
    <s v="Cowboy Hats"/>
    <n v="2023"/>
    <n v="4"/>
    <x v="3"/>
    <n v="1"/>
    <x v="1"/>
    <n v="81168.240000000005"/>
    <n v="4613"/>
  </r>
  <r>
    <s v="C"/>
    <s v="Cowboy Hats"/>
    <n v="2023"/>
    <n v="4"/>
    <x v="3"/>
    <n v="2"/>
    <x v="2"/>
    <n v="1893.35"/>
    <n v="704"/>
  </r>
  <r>
    <s v="C"/>
    <s v="Cowboy Hats"/>
    <n v="2023"/>
    <n v="4"/>
    <x v="3"/>
    <n v="3"/>
    <x v="3"/>
    <n v="16009.04"/>
    <n v="2049"/>
  </r>
  <r>
    <s v="C"/>
    <s v="Cowboy Hats"/>
    <n v="2023"/>
    <n v="4"/>
    <x v="3"/>
    <n v="4"/>
    <x v="4"/>
    <n v="75685.37"/>
    <n v="4454"/>
  </r>
  <r>
    <s v="C"/>
    <s v="Cowboy Hats"/>
    <n v="2023"/>
    <n v="4"/>
    <x v="3"/>
    <n v="5"/>
    <x v="5"/>
    <n v="161.12"/>
    <n v="206"/>
  </r>
  <r>
    <s v="C"/>
    <s v="Cowboy Hats"/>
    <n v="2023"/>
    <n v="4"/>
    <x v="3"/>
    <n v="6"/>
    <x v="6"/>
    <n v="8137.5"/>
    <n v="1461"/>
  </r>
  <r>
    <s v="C"/>
    <s v="Cowboy Hats"/>
    <n v="2023"/>
    <n v="5"/>
    <x v="4"/>
    <m/>
    <x v="0"/>
    <n v="97762.5"/>
    <n v="5057"/>
  </r>
  <r>
    <s v="C"/>
    <s v="Cowboy Hats"/>
    <n v="2023"/>
    <n v="5"/>
    <x v="4"/>
    <n v="1"/>
    <x v="1"/>
    <n v="32967.230000000003"/>
    <n v="2936"/>
  </r>
  <r>
    <s v="C"/>
    <s v="Cowboy Hats"/>
    <n v="2023"/>
    <n v="5"/>
    <x v="4"/>
    <n v="2"/>
    <x v="2"/>
    <n v="70855.91"/>
    <n v="4305"/>
  </r>
  <r>
    <s v="C"/>
    <s v="Cowboy Hats"/>
    <n v="2023"/>
    <n v="5"/>
    <x v="4"/>
    <n v="3"/>
    <x v="3"/>
    <n v="108391.65"/>
    <n v="5324"/>
  </r>
  <r>
    <s v="C"/>
    <s v="Cowboy Hats"/>
    <n v="2023"/>
    <n v="5"/>
    <x v="4"/>
    <n v="4"/>
    <x v="4"/>
    <n v="135.1"/>
    <n v="188"/>
  </r>
  <r>
    <s v="C"/>
    <s v="Cowboy Hats"/>
    <n v="2023"/>
    <n v="5"/>
    <x v="4"/>
    <n v="5"/>
    <x v="5"/>
    <n v="164.75"/>
    <n v="208"/>
  </r>
  <r>
    <s v="C"/>
    <s v="Cowboy Hats"/>
    <n v="2023"/>
    <n v="5"/>
    <x v="4"/>
    <n v="6"/>
    <x v="6"/>
    <n v="822.97"/>
    <n v="464"/>
  </r>
  <r>
    <s v="D"/>
    <s v="Boots"/>
    <n v="2022"/>
    <n v="1"/>
    <x v="0"/>
    <m/>
    <x v="0"/>
    <n v="0"/>
    <n v="3"/>
  </r>
  <r>
    <s v="D"/>
    <s v="Boots"/>
    <n v="2022"/>
    <n v="1"/>
    <x v="0"/>
    <n v="1"/>
    <x v="1"/>
    <n v="0.01"/>
    <n v="5"/>
  </r>
  <r>
    <s v="D"/>
    <s v="Boots"/>
    <n v="2022"/>
    <n v="1"/>
    <x v="0"/>
    <n v="2"/>
    <x v="2"/>
    <n v="0.01"/>
    <n v="5"/>
  </r>
  <r>
    <s v="D"/>
    <s v="Boots"/>
    <n v="2022"/>
    <n v="1"/>
    <x v="0"/>
    <n v="3"/>
    <x v="3"/>
    <n v="0.01"/>
    <n v="5"/>
  </r>
  <r>
    <s v="D"/>
    <s v="Boots"/>
    <n v="2022"/>
    <n v="1"/>
    <x v="0"/>
    <n v="4"/>
    <x v="4"/>
    <n v="0"/>
    <n v="3"/>
  </r>
  <r>
    <s v="D"/>
    <s v="Boots"/>
    <n v="2022"/>
    <n v="1"/>
    <x v="0"/>
    <n v="5"/>
    <x v="5"/>
    <n v="0.02"/>
    <n v="6"/>
  </r>
  <r>
    <s v="D"/>
    <s v="Boots"/>
    <n v="2022"/>
    <n v="1"/>
    <x v="0"/>
    <n v="6"/>
    <x v="6"/>
    <n v="0"/>
    <n v="2"/>
  </r>
  <r>
    <s v="D"/>
    <s v="Boots"/>
    <n v="2022"/>
    <n v="2"/>
    <x v="1"/>
    <m/>
    <x v="0"/>
    <n v="0.02"/>
    <n v="5"/>
  </r>
  <r>
    <s v="D"/>
    <s v="Boots"/>
    <n v="2022"/>
    <n v="2"/>
    <x v="1"/>
    <n v="1"/>
    <x v="1"/>
    <n v="0"/>
    <n v="2"/>
  </r>
  <r>
    <s v="D"/>
    <s v="Boots"/>
    <n v="2022"/>
    <n v="2"/>
    <x v="1"/>
    <n v="2"/>
    <x v="2"/>
    <n v="0.01"/>
    <n v="3"/>
  </r>
  <r>
    <s v="D"/>
    <s v="Boots"/>
    <n v="2022"/>
    <n v="2"/>
    <x v="1"/>
    <n v="3"/>
    <x v="3"/>
    <n v="0.01"/>
    <n v="5"/>
  </r>
  <r>
    <s v="D"/>
    <s v="Boots"/>
    <n v="2022"/>
    <n v="2"/>
    <x v="1"/>
    <n v="4"/>
    <x v="4"/>
    <n v="0"/>
    <n v="0"/>
  </r>
  <r>
    <s v="D"/>
    <s v="Boots"/>
    <n v="2022"/>
    <n v="2"/>
    <x v="1"/>
    <n v="5"/>
    <x v="5"/>
    <n v="0"/>
    <n v="2"/>
  </r>
  <r>
    <s v="D"/>
    <s v="Boots"/>
    <n v="2022"/>
    <n v="2"/>
    <x v="1"/>
    <n v="6"/>
    <x v="6"/>
    <n v="0"/>
    <n v="2"/>
  </r>
  <r>
    <s v="D"/>
    <s v="Boots"/>
    <n v="2022"/>
    <n v="3"/>
    <x v="2"/>
    <m/>
    <x v="0"/>
    <n v="0"/>
    <n v="2"/>
  </r>
  <r>
    <s v="D"/>
    <s v="Boots"/>
    <n v="2022"/>
    <n v="3"/>
    <x v="2"/>
    <n v="1"/>
    <x v="1"/>
    <n v="0.02"/>
    <n v="5"/>
  </r>
  <r>
    <s v="D"/>
    <s v="Boots"/>
    <n v="2022"/>
    <n v="3"/>
    <x v="2"/>
    <n v="2"/>
    <x v="2"/>
    <n v="0"/>
    <n v="2"/>
  </r>
  <r>
    <s v="D"/>
    <s v="Boots"/>
    <n v="2022"/>
    <n v="3"/>
    <x v="2"/>
    <n v="3"/>
    <x v="3"/>
    <n v="0"/>
    <n v="1"/>
  </r>
  <r>
    <s v="D"/>
    <s v="Boots"/>
    <n v="2022"/>
    <n v="3"/>
    <x v="2"/>
    <n v="4"/>
    <x v="4"/>
    <n v="0.01"/>
    <n v="4"/>
  </r>
  <r>
    <s v="D"/>
    <s v="Boots"/>
    <n v="2022"/>
    <n v="3"/>
    <x v="2"/>
    <n v="5"/>
    <x v="5"/>
    <n v="0"/>
    <n v="2"/>
  </r>
  <r>
    <s v="D"/>
    <s v="Boots"/>
    <n v="2022"/>
    <n v="3"/>
    <x v="2"/>
    <n v="6"/>
    <x v="6"/>
    <n v="0"/>
    <n v="0"/>
  </r>
  <r>
    <s v="D"/>
    <s v="Boots"/>
    <n v="2022"/>
    <n v="4"/>
    <x v="3"/>
    <m/>
    <x v="0"/>
    <n v="0.01"/>
    <n v="3"/>
  </r>
  <r>
    <s v="D"/>
    <s v="Boots"/>
    <n v="2022"/>
    <n v="4"/>
    <x v="3"/>
    <n v="1"/>
    <x v="1"/>
    <n v="0.02"/>
    <n v="6"/>
  </r>
  <r>
    <s v="D"/>
    <s v="Boots"/>
    <n v="2022"/>
    <n v="4"/>
    <x v="3"/>
    <n v="2"/>
    <x v="2"/>
    <n v="0"/>
    <n v="1"/>
  </r>
  <r>
    <s v="D"/>
    <s v="Boots"/>
    <n v="2022"/>
    <n v="4"/>
    <x v="3"/>
    <n v="3"/>
    <x v="3"/>
    <n v="0"/>
    <n v="2"/>
  </r>
  <r>
    <s v="D"/>
    <s v="Boots"/>
    <n v="2022"/>
    <n v="4"/>
    <x v="3"/>
    <n v="4"/>
    <x v="4"/>
    <n v="0.02"/>
    <n v="5"/>
  </r>
  <r>
    <s v="D"/>
    <s v="Boots"/>
    <n v="2022"/>
    <n v="4"/>
    <x v="3"/>
    <n v="5"/>
    <x v="5"/>
    <n v="0"/>
    <n v="0"/>
  </r>
  <r>
    <s v="D"/>
    <s v="Boots"/>
    <n v="2022"/>
    <n v="4"/>
    <x v="3"/>
    <n v="6"/>
    <x v="6"/>
    <n v="0"/>
    <n v="2"/>
  </r>
  <r>
    <s v="D"/>
    <s v="Boots"/>
    <n v="2022"/>
    <n v="5"/>
    <x v="4"/>
    <m/>
    <x v="0"/>
    <n v="0.01"/>
    <n v="4"/>
  </r>
  <r>
    <s v="D"/>
    <s v="Boots"/>
    <n v="2022"/>
    <n v="5"/>
    <x v="4"/>
    <n v="1"/>
    <x v="1"/>
    <n v="0"/>
    <n v="2"/>
  </r>
  <r>
    <s v="D"/>
    <s v="Boots"/>
    <n v="2022"/>
    <n v="5"/>
    <x v="4"/>
    <n v="2"/>
    <x v="2"/>
    <n v="0.01"/>
    <n v="4"/>
  </r>
  <r>
    <s v="D"/>
    <s v="Boots"/>
    <n v="2022"/>
    <n v="5"/>
    <x v="4"/>
    <n v="3"/>
    <x v="3"/>
    <n v="0.01"/>
    <n v="4"/>
  </r>
  <r>
    <s v="D"/>
    <s v="Boots"/>
    <n v="2022"/>
    <n v="5"/>
    <x v="4"/>
    <n v="4"/>
    <x v="4"/>
    <n v="0"/>
    <n v="0"/>
  </r>
  <r>
    <s v="D"/>
    <s v="Boots"/>
    <n v="2022"/>
    <n v="5"/>
    <x v="4"/>
    <n v="5"/>
    <x v="5"/>
    <n v="0"/>
    <n v="0"/>
  </r>
  <r>
    <s v="D"/>
    <s v="Boots"/>
    <n v="2022"/>
    <n v="5"/>
    <x v="4"/>
    <n v="6"/>
    <x v="6"/>
    <n v="0"/>
    <n v="0"/>
  </r>
  <r>
    <s v="D"/>
    <s v="Boots"/>
    <n v="2023"/>
    <n v="1"/>
    <x v="0"/>
    <m/>
    <x v="0"/>
    <n v="3810.11"/>
    <n v="2134"/>
  </r>
  <r>
    <s v="D"/>
    <s v="Boots"/>
    <n v="2023"/>
    <n v="1"/>
    <x v="0"/>
    <n v="1"/>
    <x v="1"/>
    <n v="12006.69"/>
    <n v="3788"/>
  </r>
  <r>
    <s v="D"/>
    <s v="Boots"/>
    <n v="2023"/>
    <n v="1"/>
    <x v="0"/>
    <n v="2"/>
    <x v="2"/>
    <n v="13654.92"/>
    <n v="4039"/>
  </r>
  <r>
    <s v="D"/>
    <s v="Boots"/>
    <n v="2023"/>
    <n v="1"/>
    <x v="0"/>
    <n v="3"/>
    <x v="3"/>
    <n v="13966.77"/>
    <n v="4085"/>
  </r>
  <r>
    <s v="D"/>
    <s v="Boots"/>
    <n v="2023"/>
    <n v="1"/>
    <x v="0"/>
    <n v="4"/>
    <x v="4"/>
    <n v="3821.64"/>
    <n v="2137"/>
  </r>
  <r>
    <s v="D"/>
    <s v="Boots"/>
    <n v="2023"/>
    <n v="1"/>
    <x v="0"/>
    <n v="5"/>
    <x v="5"/>
    <n v="18505.86"/>
    <n v="4702"/>
  </r>
  <r>
    <s v="D"/>
    <s v="Boots"/>
    <n v="2023"/>
    <n v="1"/>
    <x v="0"/>
    <n v="6"/>
    <x v="6"/>
    <n v="2907.48"/>
    <n v="1864"/>
  </r>
  <r>
    <s v="D"/>
    <s v="Boots"/>
    <n v="2023"/>
    <n v="2"/>
    <x v="1"/>
    <m/>
    <x v="0"/>
    <n v="13514.05"/>
    <n v="4545"/>
  </r>
  <r>
    <s v="D"/>
    <s v="Boots"/>
    <n v="2023"/>
    <n v="2"/>
    <x v="1"/>
    <n v="1"/>
    <x v="1"/>
    <n v="3233.07"/>
    <n v="2223"/>
  </r>
  <r>
    <s v="D"/>
    <s v="Boots"/>
    <n v="2023"/>
    <n v="2"/>
    <x v="1"/>
    <n v="2"/>
    <x v="2"/>
    <n v="5168.97"/>
    <n v="2811"/>
  </r>
  <r>
    <s v="D"/>
    <s v="Boots"/>
    <n v="2023"/>
    <n v="2"/>
    <x v="1"/>
    <n v="3"/>
    <x v="3"/>
    <n v="11313.07"/>
    <n v="4159"/>
  </r>
  <r>
    <s v="D"/>
    <s v="Boots"/>
    <n v="2023"/>
    <n v="2"/>
    <x v="1"/>
    <n v="4"/>
    <x v="4"/>
    <n v="7.96"/>
    <n v="110"/>
  </r>
  <r>
    <s v="D"/>
    <s v="Boots"/>
    <n v="2023"/>
    <n v="2"/>
    <x v="1"/>
    <n v="5"/>
    <x v="5"/>
    <n v="2350.0100000000002"/>
    <n v="1895"/>
  </r>
  <r>
    <s v="D"/>
    <s v="Boots"/>
    <n v="2023"/>
    <n v="2"/>
    <x v="1"/>
    <n v="6"/>
    <x v="6"/>
    <n v="1414.42"/>
    <n v="1471"/>
  </r>
  <r>
    <s v="D"/>
    <s v="Boots"/>
    <n v="2023"/>
    <n v="3"/>
    <x v="2"/>
    <m/>
    <x v="0"/>
    <n v="2858.27"/>
    <n v="2089"/>
  </r>
  <r>
    <s v="D"/>
    <s v="Boots"/>
    <n v="2023"/>
    <n v="3"/>
    <x v="2"/>
    <n v="1"/>
    <x v="1"/>
    <n v="13687.92"/>
    <n v="4570"/>
  </r>
  <r>
    <s v="D"/>
    <s v="Boots"/>
    <n v="2023"/>
    <n v="3"/>
    <x v="2"/>
    <n v="2"/>
    <x v="2"/>
    <n v="1870.09"/>
    <n v="1689"/>
  </r>
  <r>
    <s v="D"/>
    <s v="Boots"/>
    <n v="2023"/>
    <n v="3"/>
    <x v="2"/>
    <n v="3"/>
    <x v="3"/>
    <n v="268.08"/>
    <n v="640"/>
  </r>
  <r>
    <s v="D"/>
    <s v="Boots"/>
    <n v="2023"/>
    <n v="3"/>
    <x v="2"/>
    <n v="4"/>
    <x v="4"/>
    <n v="8050.75"/>
    <n v="3505"/>
  </r>
  <r>
    <s v="D"/>
    <s v="Boots"/>
    <n v="2023"/>
    <n v="3"/>
    <x v="2"/>
    <n v="5"/>
    <x v="5"/>
    <n v="2904.61"/>
    <n v="2105"/>
  </r>
  <r>
    <s v="D"/>
    <s v="Boots"/>
    <n v="2023"/>
    <n v="3"/>
    <x v="2"/>
    <n v="6"/>
    <x v="6"/>
    <n v="84.18"/>
    <n v="358"/>
  </r>
  <r>
    <s v="D"/>
    <s v="Boots"/>
    <n v="2023"/>
    <n v="4"/>
    <x v="3"/>
    <m/>
    <x v="0"/>
    <n v="4493.9399999999996"/>
    <n v="2512"/>
  </r>
  <r>
    <s v="D"/>
    <s v="Boots"/>
    <n v="2023"/>
    <n v="4"/>
    <x v="3"/>
    <n v="1"/>
    <x v="1"/>
    <n v="18076.29"/>
    <n v="5038"/>
  </r>
  <r>
    <s v="D"/>
    <s v="Boots"/>
    <n v="2023"/>
    <n v="4"/>
    <x v="3"/>
    <n v="2"/>
    <x v="2"/>
    <n v="421.65"/>
    <n v="769"/>
  </r>
  <r>
    <s v="D"/>
    <s v="Boots"/>
    <n v="2023"/>
    <n v="4"/>
    <x v="3"/>
    <n v="3"/>
    <x v="3"/>
    <n v="3565.24"/>
    <n v="2237"/>
  </r>
  <r>
    <s v="D"/>
    <s v="Boots"/>
    <n v="2023"/>
    <n v="4"/>
    <x v="3"/>
    <n v="4"/>
    <x v="4"/>
    <n v="16855.25"/>
    <n v="4865"/>
  </r>
  <r>
    <s v="D"/>
    <s v="Boots"/>
    <n v="2023"/>
    <n v="4"/>
    <x v="3"/>
    <n v="5"/>
    <x v="5"/>
    <n v="35.880000000000003"/>
    <n v="224"/>
  </r>
  <r>
    <s v="D"/>
    <s v="Boots"/>
    <n v="2023"/>
    <n v="4"/>
    <x v="3"/>
    <n v="6"/>
    <x v="6"/>
    <n v="1812.23"/>
    <n v="1595"/>
  </r>
  <r>
    <s v="D"/>
    <s v="Boots"/>
    <n v="2023"/>
    <n v="5"/>
    <x v="4"/>
    <m/>
    <x v="0"/>
    <n v="12738.51"/>
    <n v="4224"/>
  </r>
  <r>
    <s v="D"/>
    <s v="Boots"/>
    <n v="2023"/>
    <n v="5"/>
    <x v="4"/>
    <n v="1"/>
    <x v="1"/>
    <n v="4295.6499999999996"/>
    <n v="2453"/>
  </r>
  <r>
    <s v="D"/>
    <s v="Boots"/>
    <n v="2023"/>
    <n v="5"/>
    <x v="4"/>
    <n v="2"/>
    <x v="2"/>
    <n v="9232.57"/>
    <n v="3596"/>
  </r>
  <r>
    <s v="D"/>
    <s v="Boots"/>
    <n v="2023"/>
    <n v="5"/>
    <x v="4"/>
    <n v="3"/>
    <x v="3"/>
    <n v="14123.5"/>
    <n v="4448"/>
  </r>
  <r>
    <s v="D"/>
    <s v="Boots"/>
    <n v="2023"/>
    <n v="5"/>
    <x v="4"/>
    <n v="4"/>
    <x v="4"/>
    <n v="17.600000000000001"/>
    <n v="157"/>
  </r>
  <r>
    <s v="D"/>
    <s v="Boots"/>
    <n v="2023"/>
    <n v="5"/>
    <x v="4"/>
    <n v="5"/>
    <x v="5"/>
    <n v="21.47"/>
    <n v="173"/>
  </r>
  <r>
    <s v="D"/>
    <s v="Boots"/>
    <n v="2023"/>
    <n v="5"/>
    <x v="4"/>
    <n v="6"/>
    <x v="6"/>
    <n v="107.23"/>
    <n v="388"/>
  </r>
  <r>
    <s v="E"/>
    <s v="Boot Accessories"/>
    <n v="2022"/>
    <n v="1"/>
    <x v="0"/>
    <m/>
    <x v="0"/>
    <n v="997.26"/>
    <n v="475"/>
  </r>
  <r>
    <s v="E"/>
    <s v="Boot Accessories"/>
    <n v="2022"/>
    <n v="1"/>
    <x v="0"/>
    <n v="1"/>
    <x v="1"/>
    <n v="3142.63"/>
    <n v="843"/>
  </r>
  <r>
    <s v="E"/>
    <s v="Boot Accessories"/>
    <n v="2022"/>
    <n v="1"/>
    <x v="0"/>
    <n v="2"/>
    <x v="2"/>
    <n v="3574.04"/>
    <n v="899"/>
  </r>
  <r>
    <s v="E"/>
    <s v="Boot Accessories"/>
    <n v="2022"/>
    <n v="1"/>
    <x v="0"/>
    <n v="3"/>
    <x v="3"/>
    <n v="3655.66"/>
    <n v="909"/>
  </r>
  <r>
    <s v="E"/>
    <s v="Boot Accessories"/>
    <n v="2022"/>
    <n v="1"/>
    <x v="0"/>
    <n v="4"/>
    <x v="4"/>
    <n v="1000.27"/>
    <n v="475"/>
  </r>
  <r>
    <s v="E"/>
    <s v="Boot Accessories"/>
    <n v="2022"/>
    <n v="1"/>
    <x v="0"/>
    <n v="5"/>
    <x v="5"/>
    <n v="4843.72"/>
    <n v="1046"/>
  </r>
  <r>
    <s v="E"/>
    <s v="Boot Accessories"/>
    <n v="2022"/>
    <n v="1"/>
    <x v="0"/>
    <n v="6"/>
    <x v="6"/>
    <n v="761"/>
    <n v="415"/>
  </r>
  <r>
    <s v="E"/>
    <s v="Boot Accessories"/>
    <n v="2022"/>
    <n v="2"/>
    <x v="1"/>
    <m/>
    <x v="0"/>
    <n v="4012.61"/>
    <n v="923"/>
  </r>
  <r>
    <s v="E"/>
    <s v="Boot Accessories"/>
    <n v="2022"/>
    <n v="2"/>
    <x v="1"/>
    <n v="1"/>
    <x v="1"/>
    <n v="959.97"/>
    <n v="452"/>
  </r>
  <r>
    <s v="E"/>
    <s v="Boot Accessories"/>
    <n v="2022"/>
    <n v="2"/>
    <x v="1"/>
    <n v="2"/>
    <x v="2"/>
    <n v="1534.78"/>
    <n v="571"/>
  </r>
  <r>
    <s v="E"/>
    <s v="Boot Accessories"/>
    <n v="2022"/>
    <n v="2"/>
    <x v="1"/>
    <n v="3"/>
    <x v="3"/>
    <n v="3359.09"/>
    <n v="845"/>
  </r>
  <r>
    <s v="E"/>
    <s v="Boot Accessories"/>
    <n v="2022"/>
    <n v="2"/>
    <x v="1"/>
    <n v="4"/>
    <x v="4"/>
    <n v="2.36"/>
    <n v="22"/>
  </r>
  <r>
    <s v="E"/>
    <s v="Boot Accessories"/>
    <n v="2022"/>
    <n v="2"/>
    <x v="1"/>
    <n v="5"/>
    <x v="5"/>
    <n v="697.77"/>
    <n v="385"/>
  </r>
  <r>
    <s v="E"/>
    <s v="Boot Accessories"/>
    <n v="2022"/>
    <n v="2"/>
    <x v="1"/>
    <n v="6"/>
    <x v="6"/>
    <n v="419.97"/>
    <n v="299"/>
  </r>
  <r>
    <s v="E"/>
    <s v="Boot Accessories"/>
    <n v="2022"/>
    <n v="3"/>
    <x v="2"/>
    <m/>
    <x v="0"/>
    <n v="758.1"/>
    <n v="395"/>
  </r>
  <r>
    <s v="E"/>
    <s v="Boot Accessories"/>
    <n v="2022"/>
    <n v="3"/>
    <x v="2"/>
    <n v="1"/>
    <x v="1"/>
    <n v="3630.45"/>
    <n v="864"/>
  </r>
  <r>
    <s v="E"/>
    <s v="Boot Accessories"/>
    <n v="2022"/>
    <n v="3"/>
    <x v="2"/>
    <n v="2"/>
    <x v="2"/>
    <n v="496"/>
    <n v="319"/>
  </r>
  <r>
    <s v="E"/>
    <s v="Boot Accessories"/>
    <n v="2022"/>
    <n v="3"/>
    <x v="2"/>
    <n v="3"/>
    <x v="3"/>
    <n v="71.099999999999994"/>
    <n v="121"/>
  </r>
  <r>
    <s v="E"/>
    <s v="Boot Accessories"/>
    <n v="2022"/>
    <n v="3"/>
    <x v="2"/>
    <n v="4"/>
    <x v="4"/>
    <n v="2135.3000000000002"/>
    <n v="663"/>
  </r>
  <r>
    <s v="E"/>
    <s v="Boot Accessories"/>
    <n v="2022"/>
    <n v="3"/>
    <x v="2"/>
    <n v="5"/>
    <x v="5"/>
    <n v="770.39"/>
    <n v="398"/>
  </r>
  <r>
    <s v="E"/>
    <s v="Boot Accessories"/>
    <n v="2022"/>
    <n v="3"/>
    <x v="2"/>
    <n v="6"/>
    <x v="6"/>
    <n v="22.33"/>
    <n v="68"/>
  </r>
  <r>
    <s v="E"/>
    <s v="Boot Accessories"/>
    <n v="2022"/>
    <n v="4"/>
    <x v="3"/>
    <m/>
    <x v="0"/>
    <n v="1113.33"/>
    <n v="479"/>
  </r>
  <r>
    <s v="E"/>
    <s v="Boot Accessories"/>
    <n v="2022"/>
    <n v="4"/>
    <x v="3"/>
    <n v="1"/>
    <x v="1"/>
    <n v="4478.24"/>
    <n v="961"/>
  </r>
  <r>
    <s v="E"/>
    <s v="Boot Accessories"/>
    <n v="2022"/>
    <n v="4"/>
    <x v="3"/>
    <n v="2"/>
    <x v="2"/>
    <n v="104.46"/>
    <n v="147"/>
  </r>
  <r>
    <s v="E"/>
    <s v="Boot Accessories"/>
    <n v="2022"/>
    <n v="4"/>
    <x v="3"/>
    <n v="3"/>
    <x v="3"/>
    <n v="883.26"/>
    <n v="427"/>
  </r>
  <r>
    <s v="E"/>
    <s v="Boot Accessories"/>
    <n v="2022"/>
    <n v="4"/>
    <x v="3"/>
    <n v="4"/>
    <x v="4"/>
    <n v="4175.74"/>
    <n v="928"/>
  </r>
  <r>
    <s v="E"/>
    <s v="Boot Accessories"/>
    <n v="2022"/>
    <n v="4"/>
    <x v="3"/>
    <n v="5"/>
    <x v="5"/>
    <n v="8.89"/>
    <n v="43"/>
  </r>
  <r>
    <s v="E"/>
    <s v="Boot Accessories"/>
    <n v="2022"/>
    <n v="4"/>
    <x v="3"/>
    <n v="6"/>
    <x v="6"/>
    <n v="448.97"/>
    <n v="304"/>
  </r>
  <r>
    <s v="E"/>
    <s v="Boot Accessories"/>
    <n v="2022"/>
    <n v="5"/>
    <x v="4"/>
    <m/>
    <x v="0"/>
    <n v="7068.85"/>
    <n v="1177"/>
  </r>
  <r>
    <s v="E"/>
    <s v="Boot Accessories"/>
    <n v="2022"/>
    <n v="5"/>
    <x v="4"/>
    <n v="1"/>
    <x v="1"/>
    <n v="2383.7399999999998"/>
    <n v="684"/>
  </r>
  <r>
    <s v="E"/>
    <s v="Boot Accessories"/>
    <n v="2022"/>
    <n v="5"/>
    <x v="4"/>
    <n v="2"/>
    <x v="2"/>
    <n v="5123.33"/>
    <n v="1002"/>
  </r>
  <r>
    <s v="E"/>
    <s v="Boot Accessories"/>
    <n v="2022"/>
    <n v="5"/>
    <x v="4"/>
    <n v="3"/>
    <x v="3"/>
    <n v="7837.41"/>
    <n v="1240"/>
  </r>
  <r>
    <s v="E"/>
    <s v="Boot Accessories"/>
    <n v="2022"/>
    <n v="5"/>
    <x v="4"/>
    <n v="4"/>
    <x v="4"/>
    <n v="9.77"/>
    <n v="44"/>
  </r>
  <r>
    <s v="E"/>
    <s v="Boot Accessories"/>
    <n v="2022"/>
    <n v="5"/>
    <x v="4"/>
    <n v="5"/>
    <x v="5"/>
    <n v="11.91"/>
    <n v="48"/>
  </r>
  <r>
    <s v="E"/>
    <s v="Boot Accessories"/>
    <n v="2022"/>
    <n v="5"/>
    <x v="4"/>
    <n v="6"/>
    <x v="6"/>
    <n v="59.51"/>
    <n v="108"/>
  </r>
  <r>
    <s v="E"/>
    <s v="Boot Accessories"/>
    <n v="2023"/>
    <n v="1"/>
    <x v="0"/>
    <m/>
    <x v="0"/>
    <n v="1140.3399999999999"/>
    <n v="442"/>
  </r>
  <r>
    <s v="E"/>
    <s v="Boot Accessories"/>
    <n v="2023"/>
    <n v="1"/>
    <x v="0"/>
    <n v="1"/>
    <x v="1"/>
    <n v="3593.53"/>
    <n v="785"/>
  </r>
  <r>
    <s v="E"/>
    <s v="Boot Accessories"/>
    <n v="2023"/>
    <n v="1"/>
    <x v="0"/>
    <n v="2"/>
    <x v="2"/>
    <n v="4086.84"/>
    <n v="837"/>
  </r>
  <r>
    <s v="E"/>
    <s v="Boot Accessories"/>
    <n v="2023"/>
    <n v="1"/>
    <x v="0"/>
    <n v="3"/>
    <x v="3"/>
    <n v="4180.17"/>
    <n v="846"/>
  </r>
  <r>
    <s v="E"/>
    <s v="Boot Accessories"/>
    <n v="2023"/>
    <n v="1"/>
    <x v="0"/>
    <n v="4"/>
    <x v="4"/>
    <n v="1143.79"/>
    <n v="443"/>
  </r>
  <r>
    <s v="E"/>
    <s v="Boot Accessories"/>
    <n v="2023"/>
    <n v="1"/>
    <x v="0"/>
    <n v="5"/>
    <x v="5"/>
    <n v="5538.7"/>
    <n v="974"/>
  </r>
  <r>
    <s v="E"/>
    <s v="Boot Accessories"/>
    <n v="2023"/>
    <n v="1"/>
    <x v="0"/>
    <n v="6"/>
    <x v="6"/>
    <n v="870.19"/>
    <n v="386"/>
  </r>
  <r>
    <s v="E"/>
    <s v="Boot Accessories"/>
    <n v="2023"/>
    <n v="2"/>
    <x v="1"/>
    <m/>
    <x v="0"/>
    <n v="3812.77"/>
    <n v="914"/>
  </r>
  <r>
    <s v="E"/>
    <s v="Boot Accessories"/>
    <n v="2023"/>
    <n v="2"/>
    <x v="1"/>
    <n v="1"/>
    <x v="1"/>
    <n v="912.16"/>
    <n v="447"/>
  </r>
  <r>
    <s v="E"/>
    <s v="Boot Accessories"/>
    <n v="2023"/>
    <n v="2"/>
    <x v="1"/>
    <n v="2"/>
    <x v="2"/>
    <n v="1458.34"/>
    <n v="565"/>
  </r>
  <r>
    <s v="E"/>
    <s v="Boot Accessories"/>
    <n v="2023"/>
    <n v="2"/>
    <x v="1"/>
    <n v="3"/>
    <x v="3"/>
    <n v="3191.8"/>
    <n v="836"/>
  </r>
  <r>
    <s v="E"/>
    <s v="Boot Accessories"/>
    <n v="2023"/>
    <n v="2"/>
    <x v="1"/>
    <n v="4"/>
    <x v="4"/>
    <n v="2.25"/>
    <n v="22"/>
  </r>
  <r>
    <s v="E"/>
    <s v="Boot Accessories"/>
    <n v="2023"/>
    <n v="2"/>
    <x v="1"/>
    <n v="5"/>
    <x v="5"/>
    <n v="663.02"/>
    <n v="381"/>
  </r>
  <r>
    <s v="E"/>
    <s v="Boot Accessories"/>
    <n v="2023"/>
    <n v="2"/>
    <x v="1"/>
    <n v="6"/>
    <x v="6"/>
    <n v="399.06"/>
    <n v="296"/>
  </r>
  <r>
    <s v="E"/>
    <s v="Boot Accessories"/>
    <n v="2023"/>
    <n v="3"/>
    <x v="2"/>
    <m/>
    <x v="0"/>
    <n v="749.47"/>
    <n v="405"/>
  </r>
  <r>
    <s v="E"/>
    <s v="Boot Accessories"/>
    <n v="2023"/>
    <n v="3"/>
    <x v="2"/>
    <n v="1"/>
    <x v="1"/>
    <n v="3589.12"/>
    <n v="886"/>
  </r>
  <r>
    <s v="E"/>
    <s v="Boot Accessories"/>
    <n v="2023"/>
    <n v="3"/>
    <x v="2"/>
    <n v="2"/>
    <x v="2"/>
    <n v="490.36"/>
    <n v="328"/>
  </r>
  <r>
    <s v="E"/>
    <s v="Boot Accessories"/>
    <n v="2023"/>
    <n v="3"/>
    <x v="2"/>
    <n v="3"/>
    <x v="3"/>
    <n v="70.290000000000006"/>
    <n v="124"/>
  </r>
  <r>
    <s v="E"/>
    <s v="Boot Accessories"/>
    <n v="2023"/>
    <n v="3"/>
    <x v="2"/>
    <n v="4"/>
    <x v="4"/>
    <n v="2110.9899999999998"/>
    <n v="680"/>
  </r>
  <r>
    <s v="E"/>
    <s v="Boot Accessories"/>
    <n v="2023"/>
    <n v="3"/>
    <x v="2"/>
    <n v="5"/>
    <x v="5"/>
    <n v="761.62"/>
    <n v="408"/>
  </r>
  <r>
    <s v="E"/>
    <s v="Boot Accessories"/>
    <n v="2023"/>
    <n v="3"/>
    <x v="2"/>
    <n v="6"/>
    <x v="6"/>
    <n v="22.07"/>
    <n v="69"/>
  </r>
  <r>
    <s v="E"/>
    <s v="Boot Accessories"/>
    <n v="2023"/>
    <n v="4"/>
    <x v="3"/>
    <m/>
    <x v="0"/>
    <n v="1159.3499999999999"/>
    <n v="483"/>
  </r>
  <r>
    <s v="E"/>
    <s v="Boot Accessories"/>
    <n v="2023"/>
    <n v="4"/>
    <x v="3"/>
    <n v="1"/>
    <x v="1"/>
    <n v="4663.3500000000004"/>
    <n v="969"/>
  </r>
  <r>
    <s v="E"/>
    <s v="Boot Accessories"/>
    <n v="2023"/>
    <n v="4"/>
    <x v="3"/>
    <n v="2"/>
    <x v="2"/>
    <n v="108.78"/>
    <n v="148"/>
  </r>
  <r>
    <s v="E"/>
    <s v="Boot Accessories"/>
    <n v="2023"/>
    <n v="4"/>
    <x v="3"/>
    <n v="3"/>
    <x v="3"/>
    <n v="919.77"/>
    <n v="430"/>
  </r>
  <r>
    <s v="E"/>
    <s v="Boot Accessories"/>
    <n v="2023"/>
    <n v="4"/>
    <x v="3"/>
    <n v="4"/>
    <x v="4"/>
    <n v="4348.34"/>
    <n v="936"/>
  </r>
  <r>
    <s v="E"/>
    <s v="Boot Accessories"/>
    <n v="2023"/>
    <n v="4"/>
    <x v="3"/>
    <n v="5"/>
    <x v="5"/>
    <n v="9.26"/>
    <n v="43"/>
  </r>
  <r>
    <s v="E"/>
    <s v="Boot Accessories"/>
    <n v="2023"/>
    <n v="4"/>
    <x v="3"/>
    <n v="6"/>
    <x v="6"/>
    <n v="467.52"/>
    <n v="307"/>
  </r>
  <r>
    <s v="E"/>
    <s v="Boot Accessories"/>
    <n v="2023"/>
    <n v="5"/>
    <x v="4"/>
    <m/>
    <x v="0"/>
    <n v="8627.36"/>
    <n v="1316"/>
  </r>
  <r>
    <s v="E"/>
    <s v="Boot Accessories"/>
    <n v="2023"/>
    <n v="5"/>
    <x v="4"/>
    <n v="1"/>
    <x v="1"/>
    <n v="2909.3"/>
    <n v="764"/>
  </r>
  <r>
    <s v="E"/>
    <s v="Boot Accessories"/>
    <n v="2023"/>
    <n v="5"/>
    <x v="4"/>
    <n v="2"/>
    <x v="2"/>
    <n v="6252.9"/>
    <n v="1121"/>
  </r>
  <r>
    <s v="E"/>
    <s v="Boot Accessories"/>
    <n v="2023"/>
    <n v="5"/>
    <x v="4"/>
    <n v="3"/>
    <x v="3"/>
    <n v="9565.36"/>
    <n v="1386"/>
  </r>
  <r>
    <s v="E"/>
    <s v="Boot Accessories"/>
    <n v="2023"/>
    <n v="5"/>
    <x v="4"/>
    <n v="4"/>
    <x v="4"/>
    <n v="11.92"/>
    <n v="49"/>
  </r>
  <r>
    <s v="E"/>
    <s v="Boot Accessories"/>
    <n v="2023"/>
    <n v="5"/>
    <x v="4"/>
    <n v="5"/>
    <x v="5"/>
    <n v="14.54"/>
    <n v="54"/>
  </r>
  <r>
    <s v="E"/>
    <s v="Boot Accessories"/>
    <n v="2023"/>
    <n v="5"/>
    <x v="4"/>
    <n v="6"/>
    <x v="6"/>
    <n v="72.63"/>
    <n v="121"/>
  </r>
  <r>
    <s v="F"/>
    <s v="Formalwear"/>
    <n v="2022"/>
    <n v="1"/>
    <x v="0"/>
    <m/>
    <x v="0"/>
    <n v="1784.37"/>
    <n v="1956"/>
  </r>
  <r>
    <s v="F"/>
    <s v="Formalwear"/>
    <n v="2022"/>
    <n v="1"/>
    <x v="0"/>
    <n v="1"/>
    <x v="1"/>
    <n v="5623.03"/>
    <n v="3472"/>
  </r>
  <r>
    <s v="F"/>
    <s v="Formalwear"/>
    <n v="2022"/>
    <n v="1"/>
    <x v="0"/>
    <n v="2"/>
    <x v="2"/>
    <n v="6394.94"/>
    <n v="3702"/>
  </r>
  <r>
    <s v="F"/>
    <s v="Formalwear"/>
    <n v="2022"/>
    <n v="1"/>
    <x v="0"/>
    <n v="3"/>
    <x v="3"/>
    <n v="6540.98"/>
    <n v="3744"/>
  </r>
  <r>
    <s v="F"/>
    <s v="Formalwear"/>
    <n v="2022"/>
    <n v="1"/>
    <x v="0"/>
    <n v="4"/>
    <x v="4"/>
    <n v="1789.77"/>
    <n v="1959"/>
  </r>
  <r>
    <s v="F"/>
    <s v="Formalwear"/>
    <n v="2022"/>
    <n v="1"/>
    <x v="0"/>
    <n v="5"/>
    <x v="5"/>
    <n v="8666.75"/>
    <n v="4310"/>
  </r>
  <r>
    <s v="F"/>
    <s v="Formalwear"/>
    <n v="2022"/>
    <n v="1"/>
    <x v="0"/>
    <n v="6"/>
    <x v="6"/>
    <n v="1361.65"/>
    <n v="1708"/>
  </r>
  <r>
    <s v="F"/>
    <s v="Formalwear"/>
    <n v="2022"/>
    <n v="2"/>
    <x v="1"/>
    <m/>
    <x v="0"/>
    <n v="14771.7"/>
    <n v="5457"/>
  </r>
  <r>
    <s v="F"/>
    <s v="Formalwear"/>
    <n v="2022"/>
    <n v="2"/>
    <x v="1"/>
    <n v="1"/>
    <x v="1"/>
    <n v="3533.95"/>
    <n v="2669"/>
  </r>
  <r>
    <s v="F"/>
    <s v="Formalwear"/>
    <n v="2022"/>
    <n v="2"/>
    <x v="1"/>
    <n v="2"/>
    <x v="2"/>
    <n v="5650.01"/>
    <n v="3375"/>
  </r>
  <r>
    <s v="F"/>
    <s v="Formalwear"/>
    <n v="2022"/>
    <n v="2"/>
    <x v="1"/>
    <n v="3"/>
    <x v="3"/>
    <n v="12365.9"/>
    <n v="4993"/>
  </r>
  <r>
    <s v="F"/>
    <s v="Formalwear"/>
    <n v="2022"/>
    <n v="2"/>
    <x v="1"/>
    <n v="4"/>
    <x v="4"/>
    <n v="8.6999999999999993"/>
    <n v="132"/>
  </r>
  <r>
    <s v="F"/>
    <s v="Formalwear"/>
    <n v="2022"/>
    <n v="2"/>
    <x v="1"/>
    <n v="5"/>
    <x v="5"/>
    <n v="2568.71"/>
    <n v="2276"/>
  </r>
  <r>
    <s v="F"/>
    <s v="Formalwear"/>
    <n v="2022"/>
    <n v="2"/>
    <x v="1"/>
    <n v="6"/>
    <x v="6"/>
    <n v="1546.05"/>
    <n v="1765"/>
  </r>
  <r>
    <s v="F"/>
    <s v="Formalwear"/>
    <n v="2022"/>
    <n v="3"/>
    <x v="2"/>
    <m/>
    <x v="0"/>
    <n v="1816.92"/>
    <n v="1882"/>
  </r>
  <r>
    <s v="F"/>
    <s v="Formalwear"/>
    <n v="2022"/>
    <n v="3"/>
    <x v="2"/>
    <n v="1"/>
    <x v="1"/>
    <n v="8701.01"/>
    <n v="4120"/>
  </r>
  <r>
    <s v="F"/>
    <s v="Formalwear"/>
    <n v="2022"/>
    <n v="3"/>
    <x v="2"/>
    <n v="2"/>
    <x v="2"/>
    <n v="1188.76"/>
    <n v="1523"/>
  </r>
  <r>
    <s v="F"/>
    <s v="Formalwear"/>
    <n v="2022"/>
    <n v="3"/>
    <x v="2"/>
    <n v="3"/>
    <x v="3"/>
    <n v="170.41"/>
    <n v="577"/>
  </r>
  <r>
    <s v="F"/>
    <s v="Formalwear"/>
    <n v="2022"/>
    <n v="3"/>
    <x v="2"/>
    <n v="4"/>
    <x v="4"/>
    <n v="5117.62"/>
    <n v="3159"/>
  </r>
  <r>
    <s v="F"/>
    <s v="Formalwear"/>
    <n v="2022"/>
    <n v="3"/>
    <x v="2"/>
    <n v="5"/>
    <x v="5"/>
    <n v="1846.38"/>
    <n v="1898"/>
  </r>
  <r>
    <s v="F"/>
    <s v="Formalwear"/>
    <n v="2022"/>
    <n v="3"/>
    <x v="2"/>
    <n v="6"/>
    <x v="6"/>
    <n v="53.51"/>
    <n v="323"/>
  </r>
  <r>
    <s v="F"/>
    <s v="Formalwear"/>
    <n v="2022"/>
    <n v="4"/>
    <x v="3"/>
    <m/>
    <x v="0"/>
    <n v="1901.43"/>
    <n v="1929"/>
  </r>
  <r>
    <s v="F"/>
    <s v="Formalwear"/>
    <n v="2022"/>
    <n v="4"/>
    <x v="3"/>
    <n v="1"/>
    <x v="1"/>
    <n v="7648.25"/>
    <n v="3868"/>
  </r>
  <r>
    <s v="F"/>
    <s v="Formalwear"/>
    <n v="2022"/>
    <n v="4"/>
    <x v="3"/>
    <n v="2"/>
    <x v="2"/>
    <n v="178.4"/>
    <n v="591"/>
  </r>
  <r>
    <s v="F"/>
    <s v="Formalwear"/>
    <n v="2022"/>
    <n v="4"/>
    <x v="3"/>
    <n v="3"/>
    <x v="3"/>
    <n v="1508.49"/>
    <n v="1718"/>
  </r>
  <r>
    <s v="F"/>
    <s v="Formalwear"/>
    <n v="2022"/>
    <n v="4"/>
    <x v="3"/>
    <n v="4"/>
    <x v="4"/>
    <n v="7131.61"/>
    <n v="3735"/>
  </r>
  <r>
    <s v="F"/>
    <s v="Formalwear"/>
    <n v="2022"/>
    <n v="4"/>
    <x v="3"/>
    <n v="5"/>
    <x v="5"/>
    <n v="15.18"/>
    <n v="172"/>
  </r>
  <r>
    <s v="F"/>
    <s v="Formalwear"/>
    <n v="2022"/>
    <n v="4"/>
    <x v="3"/>
    <n v="6"/>
    <x v="6"/>
    <n v="766.77"/>
    <n v="1225"/>
  </r>
  <r>
    <s v="F"/>
    <s v="Formalwear"/>
    <n v="2022"/>
    <n v="5"/>
    <x v="4"/>
    <m/>
    <x v="0"/>
    <n v="13117"/>
    <n v="4940"/>
  </r>
  <r>
    <s v="F"/>
    <s v="Formalwear"/>
    <n v="2022"/>
    <n v="5"/>
    <x v="4"/>
    <n v="1"/>
    <x v="1"/>
    <n v="4423.28"/>
    <n v="2869"/>
  </r>
  <r>
    <s v="F"/>
    <s v="Formalwear"/>
    <n v="2022"/>
    <n v="5"/>
    <x v="4"/>
    <n v="2"/>
    <x v="2"/>
    <n v="9506.89"/>
    <n v="4206"/>
  </r>
  <r>
    <s v="F"/>
    <s v="Formalwear"/>
    <n v="2022"/>
    <n v="5"/>
    <x v="4"/>
    <n v="3"/>
    <x v="3"/>
    <n v="14543.13"/>
    <n v="5202"/>
  </r>
  <r>
    <s v="F"/>
    <s v="Formalwear"/>
    <n v="2022"/>
    <n v="5"/>
    <x v="4"/>
    <n v="4"/>
    <x v="4"/>
    <n v="18.13"/>
    <n v="184"/>
  </r>
  <r>
    <s v="F"/>
    <s v="Formalwear"/>
    <n v="2022"/>
    <n v="5"/>
    <x v="4"/>
    <n v="5"/>
    <x v="5"/>
    <n v="22.1"/>
    <n v="203"/>
  </r>
  <r>
    <s v="F"/>
    <s v="Formalwear"/>
    <n v="2022"/>
    <n v="5"/>
    <x v="4"/>
    <n v="6"/>
    <x v="6"/>
    <n v="110.42"/>
    <n v="453"/>
  </r>
  <r>
    <s v="F"/>
    <s v="Formalwear"/>
    <n v="2023"/>
    <n v="1"/>
    <x v="0"/>
    <m/>
    <x v="0"/>
    <n v="1773.22"/>
    <n v="1698"/>
  </r>
  <r>
    <s v="F"/>
    <s v="Formalwear"/>
    <n v="2023"/>
    <n v="1"/>
    <x v="0"/>
    <n v="1"/>
    <x v="1"/>
    <n v="5587.9"/>
    <n v="3014"/>
  </r>
  <r>
    <s v="F"/>
    <s v="Formalwear"/>
    <n v="2023"/>
    <n v="1"/>
    <x v="0"/>
    <n v="2"/>
    <x v="2"/>
    <n v="6354.99"/>
    <n v="3214"/>
  </r>
  <r>
    <s v="F"/>
    <s v="Formalwear"/>
    <n v="2023"/>
    <n v="1"/>
    <x v="0"/>
    <n v="3"/>
    <x v="3"/>
    <n v="6500.12"/>
    <n v="3251"/>
  </r>
  <r>
    <s v="F"/>
    <s v="Formalwear"/>
    <n v="2023"/>
    <n v="1"/>
    <x v="0"/>
    <n v="4"/>
    <x v="4"/>
    <n v="1778.59"/>
    <n v="1700"/>
  </r>
  <r>
    <s v="F"/>
    <s v="Formalwear"/>
    <n v="2023"/>
    <n v="1"/>
    <x v="0"/>
    <n v="5"/>
    <x v="5"/>
    <n v="8612.61"/>
    <n v="3742"/>
  </r>
  <r>
    <s v="F"/>
    <s v="Formalwear"/>
    <n v="2023"/>
    <n v="1"/>
    <x v="0"/>
    <n v="6"/>
    <x v="6"/>
    <n v="1353.14"/>
    <n v="1483"/>
  </r>
  <r>
    <s v="F"/>
    <s v="Formalwear"/>
    <n v="2023"/>
    <n v="2"/>
    <x v="1"/>
    <m/>
    <x v="0"/>
    <n v="12198.17"/>
    <n v="5037"/>
  </r>
  <r>
    <s v="F"/>
    <s v="Formalwear"/>
    <n v="2023"/>
    <n v="2"/>
    <x v="1"/>
    <n v="1"/>
    <x v="1"/>
    <n v="2918.26"/>
    <n v="2464"/>
  </r>
  <r>
    <s v="F"/>
    <s v="Formalwear"/>
    <n v="2023"/>
    <n v="2"/>
    <x v="1"/>
    <n v="2"/>
    <x v="2"/>
    <n v="4665.66"/>
    <n v="3115"/>
  </r>
  <r>
    <s v="F"/>
    <s v="Formalwear"/>
    <n v="2023"/>
    <n v="2"/>
    <x v="1"/>
    <n v="3"/>
    <x v="3"/>
    <n v="10211.51"/>
    <n v="4609"/>
  </r>
  <r>
    <s v="F"/>
    <s v="Formalwear"/>
    <n v="2023"/>
    <n v="2"/>
    <x v="1"/>
    <n v="4"/>
    <x v="4"/>
    <n v="7.18"/>
    <n v="122"/>
  </r>
  <r>
    <s v="F"/>
    <s v="Formalwear"/>
    <n v="2023"/>
    <n v="2"/>
    <x v="1"/>
    <n v="5"/>
    <x v="5"/>
    <n v="2121.19"/>
    <n v="2101"/>
  </r>
  <r>
    <s v="F"/>
    <s v="Formalwear"/>
    <n v="2023"/>
    <n v="2"/>
    <x v="1"/>
    <n v="6"/>
    <x v="6"/>
    <n v="1276.69"/>
    <n v="1630"/>
  </r>
  <r>
    <s v="F"/>
    <s v="Formalwear"/>
    <n v="2023"/>
    <n v="3"/>
    <x v="2"/>
    <m/>
    <x v="0"/>
    <n v="1561.04"/>
    <n v="1800"/>
  </r>
  <r>
    <s v="F"/>
    <s v="Formalwear"/>
    <n v="2023"/>
    <n v="3"/>
    <x v="2"/>
    <n v="1"/>
    <x v="1"/>
    <n v="7475.61"/>
    <n v="3940"/>
  </r>
  <r>
    <s v="F"/>
    <s v="Formalwear"/>
    <n v="2023"/>
    <n v="3"/>
    <x v="2"/>
    <n v="2"/>
    <x v="2"/>
    <n v="1021.34"/>
    <n v="1456"/>
  </r>
  <r>
    <s v="F"/>
    <s v="Formalwear"/>
    <n v="2023"/>
    <n v="3"/>
    <x v="2"/>
    <n v="3"/>
    <x v="3"/>
    <n v="146.41"/>
    <n v="551"/>
  </r>
  <r>
    <s v="F"/>
    <s v="Formalwear"/>
    <n v="2023"/>
    <n v="3"/>
    <x v="2"/>
    <n v="4"/>
    <x v="4"/>
    <n v="4396.8900000000003"/>
    <n v="3021"/>
  </r>
  <r>
    <s v="F"/>
    <s v="Formalwear"/>
    <n v="2023"/>
    <n v="3"/>
    <x v="2"/>
    <n v="5"/>
    <x v="5"/>
    <n v="1586.34"/>
    <n v="1815"/>
  </r>
  <r>
    <s v="F"/>
    <s v="Formalwear"/>
    <n v="2023"/>
    <n v="3"/>
    <x v="2"/>
    <n v="6"/>
    <x v="6"/>
    <n v="45.98"/>
    <n v="309"/>
  </r>
  <r>
    <s v="F"/>
    <s v="Formalwear"/>
    <n v="2023"/>
    <n v="4"/>
    <x v="3"/>
    <m/>
    <x v="0"/>
    <n v="1720.76"/>
    <n v="1813"/>
  </r>
  <r>
    <s v="F"/>
    <s v="Formalwear"/>
    <n v="2023"/>
    <n v="4"/>
    <x v="3"/>
    <n v="1"/>
    <x v="1"/>
    <n v="6921.53"/>
    <n v="3636"/>
  </r>
  <r>
    <s v="F"/>
    <s v="Formalwear"/>
    <n v="2023"/>
    <n v="4"/>
    <x v="3"/>
    <n v="2"/>
    <x v="2"/>
    <n v="161.44999999999999"/>
    <n v="555"/>
  </r>
  <r>
    <s v="F"/>
    <s v="Formalwear"/>
    <n v="2023"/>
    <n v="4"/>
    <x v="3"/>
    <n v="3"/>
    <x v="3"/>
    <n v="1365.15"/>
    <n v="1615"/>
  </r>
  <r>
    <s v="F"/>
    <s v="Formalwear"/>
    <n v="2023"/>
    <n v="4"/>
    <x v="3"/>
    <n v="4"/>
    <x v="4"/>
    <n v="6453.98"/>
    <n v="3511"/>
  </r>
  <r>
    <s v="F"/>
    <s v="Formalwear"/>
    <n v="2023"/>
    <n v="4"/>
    <x v="3"/>
    <n v="5"/>
    <x v="5"/>
    <n v="13.74"/>
    <n v="162"/>
  </r>
  <r>
    <s v="F"/>
    <s v="Formalwear"/>
    <n v="2023"/>
    <n v="4"/>
    <x v="3"/>
    <n v="6"/>
    <x v="6"/>
    <n v="693.92"/>
    <n v="1151"/>
  </r>
  <r>
    <s v="F"/>
    <s v="Formalwear"/>
    <n v="2023"/>
    <n v="5"/>
    <x v="4"/>
    <m/>
    <x v="0"/>
    <n v="13912.77"/>
    <n v="5150"/>
  </r>
  <r>
    <s v="F"/>
    <s v="Formalwear"/>
    <n v="2023"/>
    <n v="5"/>
    <x v="4"/>
    <n v="1"/>
    <x v="1"/>
    <n v="4691.63"/>
    <n v="2990"/>
  </r>
  <r>
    <s v="F"/>
    <s v="Formalwear"/>
    <n v="2023"/>
    <n v="5"/>
    <x v="4"/>
    <n v="2"/>
    <x v="2"/>
    <n v="10083.64"/>
    <n v="4384"/>
  </r>
  <r>
    <s v="F"/>
    <s v="Formalwear"/>
    <n v="2023"/>
    <n v="5"/>
    <x v="4"/>
    <n v="3"/>
    <x v="3"/>
    <n v="15425.42"/>
    <n v="5422"/>
  </r>
  <r>
    <s v="F"/>
    <s v="Formalwear"/>
    <n v="2023"/>
    <n v="5"/>
    <x v="4"/>
    <n v="4"/>
    <x v="4"/>
    <n v="19.23"/>
    <n v="191"/>
  </r>
  <r>
    <s v="F"/>
    <s v="Formalwear"/>
    <n v="2023"/>
    <n v="5"/>
    <x v="4"/>
    <n v="5"/>
    <x v="5"/>
    <n v="23.45"/>
    <n v="211"/>
  </r>
  <r>
    <s v="F"/>
    <s v="Formalwear"/>
    <n v="2023"/>
    <n v="5"/>
    <x v="4"/>
    <n v="6"/>
    <x v="6"/>
    <n v="117.12"/>
    <n v="472"/>
  </r>
  <r>
    <s v="G"/>
    <s v="Beachwear"/>
    <n v="2022"/>
    <n v="1"/>
    <x v="0"/>
    <m/>
    <x v="0"/>
    <n v="5441.55"/>
    <n v="1318"/>
  </r>
  <r>
    <s v="G"/>
    <s v="Beachwear"/>
    <n v="2022"/>
    <n v="1"/>
    <x v="0"/>
    <n v="1"/>
    <x v="1"/>
    <n v="17147.82"/>
    <n v="2339"/>
  </r>
  <r>
    <s v="G"/>
    <s v="Beachwear"/>
    <n v="2022"/>
    <n v="1"/>
    <x v="0"/>
    <n v="2"/>
    <x v="2"/>
    <n v="19501.810000000001"/>
    <n v="2494"/>
  </r>
  <r>
    <s v="G"/>
    <s v="Beachwear"/>
    <n v="2022"/>
    <n v="1"/>
    <x v="0"/>
    <n v="3"/>
    <x v="3"/>
    <n v="19947.18"/>
    <n v="2523"/>
  </r>
  <r>
    <s v="G"/>
    <s v="Beachwear"/>
    <n v="2022"/>
    <n v="1"/>
    <x v="0"/>
    <n v="4"/>
    <x v="4"/>
    <n v="5458.02"/>
    <n v="1320"/>
  </r>
  <r>
    <s v="G"/>
    <s v="Beachwear"/>
    <n v="2022"/>
    <n v="1"/>
    <x v="0"/>
    <n v="5"/>
    <x v="5"/>
    <n v="26429.86"/>
    <n v="2904"/>
  </r>
  <r>
    <s v="G"/>
    <s v="Beachwear"/>
    <n v="2022"/>
    <n v="1"/>
    <x v="0"/>
    <n v="6"/>
    <x v="6"/>
    <n v="4152.43"/>
    <n v="1151"/>
  </r>
  <r>
    <s v="G"/>
    <s v="Beachwear"/>
    <n v="2022"/>
    <n v="2"/>
    <x v="1"/>
    <m/>
    <x v="0"/>
    <n v="23106.080000000002"/>
    <n v="2633"/>
  </r>
  <r>
    <s v="G"/>
    <s v="Beachwear"/>
    <n v="2022"/>
    <n v="2"/>
    <x v="1"/>
    <n v="1"/>
    <x v="1"/>
    <n v="5527.84"/>
    <n v="1288"/>
  </r>
  <r>
    <s v="G"/>
    <s v="Beachwear"/>
    <n v="2022"/>
    <n v="2"/>
    <x v="1"/>
    <n v="2"/>
    <x v="2"/>
    <n v="8837.82"/>
    <n v="1628"/>
  </r>
  <r>
    <s v="G"/>
    <s v="Beachwear"/>
    <n v="2022"/>
    <n v="2"/>
    <x v="1"/>
    <n v="3"/>
    <x v="3"/>
    <n v="19342.89"/>
    <n v="2409"/>
  </r>
  <r>
    <s v="G"/>
    <s v="Beachwear"/>
    <n v="2022"/>
    <n v="2"/>
    <x v="1"/>
    <n v="4"/>
    <x v="4"/>
    <n v="13.61"/>
    <n v="64"/>
  </r>
  <r>
    <s v="G"/>
    <s v="Beachwear"/>
    <n v="2022"/>
    <n v="2"/>
    <x v="1"/>
    <n v="5"/>
    <x v="5"/>
    <n v="4018"/>
    <n v="1098"/>
  </r>
  <r>
    <s v="G"/>
    <s v="Beachwear"/>
    <n v="2022"/>
    <n v="2"/>
    <x v="1"/>
    <n v="6"/>
    <x v="6"/>
    <n v="2418.34"/>
    <n v="852"/>
  </r>
  <r>
    <s v="G"/>
    <s v="Beachwear"/>
    <n v="2022"/>
    <n v="3"/>
    <x v="2"/>
    <m/>
    <x v="0"/>
    <n v="4089.11"/>
    <n v="1090"/>
  </r>
  <r>
    <s v="G"/>
    <s v="Beachwear"/>
    <n v="2022"/>
    <n v="3"/>
    <x v="2"/>
    <n v="1"/>
    <x v="1"/>
    <n v="19582.22"/>
    <n v="2384"/>
  </r>
  <r>
    <s v="G"/>
    <s v="Beachwear"/>
    <n v="2022"/>
    <n v="3"/>
    <x v="2"/>
    <n v="2"/>
    <x v="2"/>
    <n v="2675.39"/>
    <n v="881"/>
  </r>
  <r>
    <s v="G"/>
    <s v="Beachwear"/>
    <n v="2022"/>
    <n v="3"/>
    <x v="2"/>
    <n v="3"/>
    <x v="3"/>
    <n v="383.52"/>
    <n v="334"/>
  </r>
  <r>
    <s v="G"/>
    <s v="Beachwear"/>
    <n v="2022"/>
    <n v="3"/>
    <x v="2"/>
    <n v="4"/>
    <x v="4"/>
    <n v="11517.57"/>
    <n v="1829"/>
  </r>
  <r>
    <s v="G"/>
    <s v="Beachwear"/>
    <n v="2022"/>
    <n v="3"/>
    <x v="2"/>
    <n v="5"/>
    <x v="5"/>
    <n v="4155.3999999999996"/>
    <n v="1098"/>
  </r>
  <r>
    <s v="G"/>
    <s v="Beachwear"/>
    <n v="2022"/>
    <n v="3"/>
    <x v="2"/>
    <n v="6"/>
    <x v="6"/>
    <n v="120.43"/>
    <n v="187"/>
  </r>
  <r>
    <s v="G"/>
    <s v="Beachwear"/>
    <n v="2022"/>
    <n v="4"/>
    <x v="3"/>
    <m/>
    <x v="0"/>
    <n v="5177.9399999999996"/>
    <n v="1228"/>
  </r>
  <r>
    <s v="G"/>
    <s v="Beachwear"/>
    <n v="2022"/>
    <n v="4"/>
    <x v="3"/>
    <n v="1"/>
    <x v="1"/>
    <n v="20827.63"/>
    <n v="2463"/>
  </r>
  <r>
    <s v="G"/>
    <s v="Beachwear"/>
    <n v="2022"/>
    <n v="4"/>
    <x v="3"/>
    <n v="2"/>
    <x v="2"/>
    <n v="485.83"/>
    <n v="376"/>
  </r>
  <r>
    <s v="G"/>
    <s v="Beachwear"/>
    <n v="2022"/>
    <n v="4"/>
    <x v="3"/>
    <n v="3"/>
    <x v="3"/>
    <n v="4107.8900000000003"/>
    <n v="1094"/>
  </r>
  <r>
    <s v="G"/>
    <s v="Beachwear"/>
    <n v="2022"/>
    <n v="4"/>
    <x v="3"/>
    <n v="4"/>
    <x v="4"/>
    <n v="19420.73"/>
    <n v="2378"/>
  </r>
  <r>
    <s v="G"/>
    <s v="Beachwear"/>
    <n v="2022"/>
    <n v="4"/>
    <x v="3"/>
    <n v="5"/>
    <x v="5"/>
    <n v="41.34"/>
    <n v="110"/>
  </r>
  <r>
    <s v="G"/>
    <s v="Beachwear"/>
    <n v="2022"/>
    <n v="4"/>
    <x v="3"/>
    <n v="6"/>
    <x v="6"/>
    <n v="2088.0700000000002"/>
    <n v="780"/>
  </r>
  <r>
    <s v="G"/>
    <s v="Beachwear"/>
    <n v="2022"/>
    <n v="5"/>
    <x v="4"/>
    <m/>
    <x v="0"/>
    <n v="31489.08"/>
    <n v="2953"/>
  </r>
  <r>
    <s v="G"/>
    <s v="Beachwear"/>
    <n v="2022"/>
    <n v="5"/>
    <x v="4"/>
    <n v="1"/>
    <x v="1"/>
    <n v="10618.67"/>
    <n v="1715"/>
  </r>
  <r>
    <s v="G"/>
    <s v="Beachwear"/>
    <n v="2022"/>
    <n v="5"/>
    <x v="4"/>
    <n v="2"/>
    <x v="2"/>
    <n v="22822.53"/>
    <n v="2514"/>
  </r>
  <r>
    <s v="G"/>
    <s v="Beachwear"/>
    <n v="2022"/>
    <n v="5"/>
    <x v="4"/>
    <n v="3"/>
    <x v="3"/>
    <n v="34912.71"/>
    <n v="3109"/>
  </r>
  <r>
    <s v="G"/>
    <s v="Beachwear"/>
    <n v="2022"/>
    <n v="5"/>
    <x v="4"/>
    <n v="4"/>
    <x v="4"/>
    <n v="43.52"/>
    <n v="110"/>
  </r>
  <r>
    <s v="G"/>
    <s v="Beachwear"/>
    <n v="2022"/>
    <n v="5"/>
    <x v="4"/>
    <n v="5"/>
    <x v="5"/>
    <n v="53.06"/>
    <n v="121"/>
  </r>
  <r>
    <s v="G"/>
    <s v="Beachwear"/>
    <n v="2022"/>
    <n v="5"/>
    <x v="4"/>
    <n v="6"/>
    <x v="6"/>
    <n v="265.08"/>
    <n v="271"/>
  </r>
  <r>
    <s v="G"/>
    <s v="Beachwear"/>
    <n v="2023"/>
    <n v="1"/>
    <x v="0"/>
    <m/>
    <x v="0"/>
    <n v="5411.74"/>
    <n v="1144"/>
  </r>
  <r>
    <s v="G"/>
    <s v="Beachwear"/>
    <n v="2023"/>
    <n v="1"/>
    <x v="0"/>
    <n v="1"/>
    <x v="1"/>
    <n v="17053.86"/>
    <n v="2031"/>
  </r>
  <r>
    <s v="G"/>
    <s v="Beachwear"/>
    <n v="2023"/>
    <n v="1"/>
    <x v="0"/>
    <n v="2"/>
    <x v="2"/>
    <n v="19394.95"/>
    <n v="2166"/>
  </r>
  <r>
    <s v="G"/>
    <s v="Beachwear"/>
    <n v="2023"/>
    <n v="1"/>
    <x v="0"/>
    <n v="3"/>
    <x v="3"/>
    <n v="19837.88"/>
    <n v="2191"/>
  </r>
  <r>
    <s v="G"/>
    <s v="Beachwear"/>
    <n v="2023"/>
    <n v="1"/>
    <x v="0"/>
    <n v="4"/>
    <x v="4"/>
    <n v="5428.11"/>
    <n v="1146"/>
  </r>
  <r>
    <s v="G"/>
    <s v="Beachwear"/>
    <n v="2023"/>
    <n v="1"/>
    <x v="0"/>
    <n v="5"/>
    <x v="5"/>
    <n v="26285.05"/>
    <n v="2522"/>
  </r>
  <r>
    <s v="G"/>
    <s v="Beachwear"/>
    <n v="2023"/>
    <n v="1"/>
    <x v="0"/>
    <n v="6"/>
    <x v="6"/>
    <n v="4129.68"/>
    <n v="1000"/>
  </r>
  <r>
    <s v="G"/>
    <s v="Beachwear"/>
    <n v="2023"/>
    <n v="2"/>
    <x v="1"/>
    <m/>
    <x v="0"/>
    <n v="19095.27"/>
    <n v="2431"/>
  </r>
  <r>
    <s v="G"/>
    <s v="Beachwear"/>
    <n v="2023"/>
    <n v="2"/>
    <x v="1"/>
    <n v="1"/>
    <x v="1"/>
    <n v="4568.3100000000004"/>
    <n v="1189"/>
  </r>
  <r>
    <s v="G"/>
    <s v="Beachwear"/>
    <n v="2023"/>
    <n v="2"/>
    <x v="1"/>
    <n v="2"/>
    <x v="2"/>
    <n v="7303.73"/>
    <n v="1504"/>
  </r>
  <r>
    <s v="G"/>
    <s v="Beachwear"/>
    <n v="2023"/>
    <n v="2"/>
    <x v="1"/>
    <n v="3"/>
    <x v="3"/>
    <n v="15985.31"/>
    <n v="2225"/>
  </r>
  <r>
    <s v="G"/>
    <s v="Beachwear"/>
    <n v="2023"/>
    <n v="2"/>
    <x v="1"/>
    <n v="4"/>
    <x v="4"/>
    <n v="11.24"/>
    <n v="59"/>
  </r>
  <r>
    <s v="G"/>
    <s v="Beachwear"/>
    <n v="2023"/>
    <n v="2"/>
    <x v="1"/>
    <n v="5"/>
    <x v="5"/>
    <n v="3320.55"/>
    <n v="1014"/>
  </r>
  <r>
    <s v="G"/>
    <s v="Beachwear"/>
    <n v="2023"/>
    <n v="2"/>
    <x v="1"/>
    <n v="6"/>
    <x v="6"/>
    <n v="1998.56"/>
    <n v="787"/>
  </r>
  <r>
    <s v="G"/>
    <s v="Beachwear"/>
    <n v="2023"/>
    <n v="3"/>
    <x v="2"/>
    <m/>
    <x v="0"/>
    <n v="3515.94"/>
    <n v="1042"/>
  </r>
  <r>
    <s v="G"/>
    <s v="Beachwear"/>
    <n v="2023"/>
    <n v="3"/>
    <x v="2"/>
    <n v="1"/>
    <x v="1"/>
    <n v="16837.37"/>
    <n v="2281"/>
  </r>
  <r>
    <s v="G"/>
    <s v="Beachwear"/>
    <n v="2023"/>
    <n v="3"/>
    <x v="2"/>
    <n v="2"/>
    <x v="2"/>
    <n v="2300.38"/>
    <n v="843"/>
  </r>
  <r>
    <s v="G"/>
    <s v="Beachwear"/>
    <n v="2023"/>
    <n v="3"/>
    <x v="2"/>
    <n v="3"/>
    <x v="3"/>
    <n v="329.77"/>
    <n v="319"/>
  </r>
  <r>
    <s v="G"/>
    <s v="Beachwear"/>
    <n v="2023"/>
    <n v="3"/>
    <x v="2"/>
    <n v="4"/>
    <x v="4"/>
    <n v="9903.15"/>
    <n v="1749"/>
  </r>
  <r>
    <s v="G"/>
    <s v="Beachwear"/>
    <n v="2023"/>
    <n v="3"/>
    <x v="2"/>
    <n v="5"/>
    <x v="5"/>
    <n v="3572.94"/>
    <n v="1051"/>
  </r>
  <r>
    <s v="G"/>
    <s v="Beachwear"/>
    <n v="2023"/>
    <n v="3"/>
    <x v="2"/>
    <n v="6"/>
    <x v="6"/>
    <n v="103.55"/>
    <n v="179"/>
  </r>
  <r>
    <s v="G"/>
    <s v="Beachwear"/>
    <n v="2023"/>
    <n v="4"/>
    <x v="3"/>
    <m/>
    <x v="0"/>
    <n v="4689.57"/>
    <n v="1155"/>
  </r>
  <r>
    <s v="G"/>
    <s v="Beachwear"/>
    <n v="2023"/>
    <n v="4"/>
    <x v="3"/>
    <n v="1"/>
    <x v="1"/>
    <n v="18863.189999999999"/>
    <n v="2316"/>
  </r>
  <r>
    <s v="G"/>
    <s v="Beachwear"/>
    <n v="2023"/>
    <n v="4"/>
    <x v="3"/>
    <n v="2"/>
    <x v="2"/>
    <n v="440.01"/>
    <n v="354"/>
  </r>
  <r>
    <s v="G"/>
    <s v="Beachwear"/>
    <n v="2023"/>
    <n v="4"/>
    <x v="3"/>
    <n v="3"/>
    <x v="3"/>
    <n v="3720.44"/>
    <n v="1028"/>
  </r>
  <r>
    <s v="G"/>
    <s v="Beachwear"/>
    <n v="2023"/>
    <n v="4"/>
    <x v="3"/>
    <n v="4"/>
    <x v="4"/>
    <n v="17588.990000000002"/>
    <n v="2236"/>
  </r>
  <r>
    <s v="G"/>
    <s v="Beachwear"/>
    <n v="2023"/>
    <n v="4"/>
    <x v="3"/>
    <n v="5"/>
    <x v="5"/>
    <n v="37.44"/>
    <n v="103"/>
  </r>
  <r>
    <s v="G"/>
    <s v="Beachwear"/>
    <n v="2023"/>
    <n v="4"/>
    <x v="3"/>
    <n v="6"/>
    <x v="6"/>
    <n v="1891.12"/>
    <n v="733"/>
  </r>
  <r>
    <s v="G"/>
    <s v="Beachwear"/>
    <n v="2023"/>
    <n v="5"/>
    <x v="4"/>
    <m/>
    <x v="0"/>
    <n v="33425.24"/>
    <n v="3079"/>
  </r>
  <r>
    <s v="G"/>
    <s v="Beachwear"/>
    <n v="2023"/>
    <n v="5"/>
    <x v="4"/>
    <n v="1"/>
    <x v="1"/>
    <n v="11271.58"/>
    <n v="1788"/>
  </r>
  <r>
    <s v="G"/>
    <s v="Beachwear"/>
    <n v="2023"/>
    <n v="5"/>
    <x v="4"/>
    <n v="2"/>
    <x v="2"/>
    <n v="24225.81"/>
    <n v="2622"/>
  </r>
  <r>
    <s v="G"/>
    <s v="Beachwear"/>
    <n v="2023"/>
    <n v="5"/>
    <x v="4"/>
    <n v="3"/>
    <x v="3"/>
    <n v="37059.370000000003"/>
    <n v="3242"/>
  </r>
  <r>
    <s v="G"/>
    <s v="Beachwear"/>
    <n v="2023"/>
    <n v="5"/>
    <x v="4"/>
    <n v="4"/>
    <x v="4"/>
    <n v="46.19"/>
    <n v="114"/>
  </r>
  <r>
    <s v="G"/>
    <s v="Beachwear"/>
    <n v="2023"/>
    <n v="5"/>
    <x v="4"/>
    <n v="5"/>
    <x v="5"/>
    <n v="56.33"/>
    <n v="126"/>
  </r>
  <r>
    <s v="G"/>
    <s v="Beachwear"/>
    <n v="2023"/>
    <n v="5"/>
    <x v="4"/>
    <n v="6"/>
    <x v="6"/>
    <n v="281.38"/>
    <n v="283"/>
  </r>
  <r>
    <s v="H"/>
    <s v="Knick Knacks"/>
    <n v="2022"/>
    <n v="1"/>
    <x v="0"/>
    <m/>
    <x v="0"/>
    <n v="69011.649999999994"/>
    <n v="2481"/>
  </r>
  <r>
    <s v="H"/>
    <s v="Knick Knacks"/>
    <n v="2022"/>
    <n v="1"/>
    <x v="0"/>
    <n v="1"/>
    <x v="1"/>
    <n v="217474.62"/>
    <n v="4405"/>
  </r>
  <r>
    <s v="H"/>
    <s v="Knick Knacks"/>
    <n v="2022"/>
    <n v="1"/>
    <x v="0"/>
    <n v="2"/>
    <x v="2"/>
    <n v="247328.73"/>
    <n v="4697"/>
  </r>
  <r>
    <s v="H"/>
    <s v="Knick Knacks"/>
    <n v="2022"/>
    <n v="1"/>
    <x v="0"/>
    <n v="3"/>
    <x v="3"/>
    <n v="252977.05"/>
    <n v="4751"/>
  </r>
  <r>
    <s v="H"/>
    <s v="Knick Knacks"/>
    <n v="2022"/>
    <n v="1"/>
    <x v="0"/>
    <n v="4"/>
    <x v="4"/>
    <n v="69220.460000000006"/>
    <n v="2485"/>
  </r>
  <r>
    <s v="H"/>
    <s v="Knick Knacks"/>
    <n v="2022"/>
    <n v="1"/>
    <x v="0"/>
    <n v="5"/>
    <x v="5"/>
    <n v="335192.71999999997"/>
    <n v="5469"/>
  </r>
  <r>
    <s v="H"/>
    <s v="Knick Knacks"/>
    <n v="2022"/>
    <n v="1"/>
    <x v="0"/>
    <n v="6"/>
    <x v="6"/>
    <n v="52662.62"/>
    <n v="2168"/>
  </r>
  <r>
    <s v="H"/>
    <s v="Knick Knacks"/>
    <n v="2022"/>
    <n v="2"/>
    <x v="1"/>
    <m/>
    <x v="0"/>
    <n v="437896.37"/>
    <n v="6062"/>
  </r>
  <r>
    <s v="H"/>
    <s v="Knick Knacks"/>
    <n v="2022"/>
    <n v="2"/>
    <x v="1"/>
    <n v="1"/>
    <x v="1"/>
    <n v="104761.31"/>
    <n v="2965"/>
  </r>
  <r>
    <s v="H"/>
    <s v="Knick Knacks"/>
    <n v="2022"/>
    <n v="2"/>
    <x v="1"/>
    <n v="2"/>
    <x v="2"/>
    <n v="167490.47"/>
    <n v="3749"/>
  </r>
  <r>
    <s v="H"/>
    <s v="Knick Knacks"/>
    <n v="2022"/>
    <n v="2"/>
    <x v="1"/>
    <n v="3"/>
    <x v="3"/>
    <n v="366578.09"/>
    <n v="5546"/>
  </r>
  <r>
    <s v="H"/>
    <s v="Knick Knacks"/>
    <n v="2022"/>
    <n v="2"/>
    <x v="1"/>
    <n v="4"/>
    <x v="4"/>
    <n v="257.85000000000002"/>
    <n v="147"/>
  </r>
  <r>
    <s v="H"/>
    <s v="Knick Knacks"/>
    <n v="2022"/>
    <n v="2"/>
    <x v="1"/>
    <n v="5"/>
    <x v="5"/>
    <n v="76147.44"/>
    <n v="2528"/>
  </r>
  <r>
    <s v="H"/>
    <s v="Knick Knacks"/>
    <n v="2022"/>
    <n v="2"/>
    <x v="1"/>
    <n v="6"/>
    <x v="6"/>
    <n v="45831.43"/>
    <n v="1961"/>
  </r>
  <r>
    <s v="H"/>
    <s v="Knick Knacks"/>
    <n v="2022"/>
    <n v="3"/>
    <x v="2"/>
    <m/>
    <x v="0"/>
    <n v="77752.820000000007"/>
    <n v="2512"/>
  </r>
  <r>
    <s v="H"/>
    <s v="Knick Knacks"/>
    <n v="2022"/>
    <n v="3"/>
    <x v="2"/>
    <n v="1"/>
    <x v="1"/>
    <n v="372348.47"/>
    <n v="5498"/>
  </r>
  <r>
    <s v="H"/>
    <s v="Knick Knacks"/>
    <n v="2022"/>
    <n v="3"/>
    <x v="2"/>
    <n v="2"/>
    <x v="2"/>
    <n v="50871.48"/>
    <n v="2032"/>
  </r>
  <r>
    <s v="H"/>
    <s v="Knick Knacks"/>
    <n v="2022"/>
    <n v="3"/>
    <x v="2"/>
    <n v="3"/>
    <x v="3"/>
    <n v="7292.57"/>
    <n v="769"/>
  </r>
  <r>
    <s v="H"/>
    <s v="Knick Knacks"/>
    <n v="2022"/>
    <n v="3"/>
    <x v="2"/>
    <n v="4"/>
    <x v="4"/>
    <n v="219002.2"/>
    <n v="4217"/>
  </r>
  <r>
    <s v="H"/>
    <s v="Knick Knacks"/>
    <n v="2022"/>
    <n v="3"/>
    <x v="2"/>
    <n v="5"/>
    <x v="5"/>
    <n v="79013.41"/>
    <n v="2533"/>
  </r>
  <r>
    <s v="H"/>
    <s v="Knick Knacks"/>
    <n v="2022"/>
    <n v="3"/>
    <x v="2"/>
    <n v="6"/>
    <x v="6"/>
    <n v="2289.98"/>
    <n v="431"/>
  </r>
  <r>
    <s v="H"/>
    <s v="Knick Knacks"/>
    <n v="2022"/>
    <n v="4"/>
    <x v="3"/>
    <m/>
    <x v="0"/>
    <n v="75571.58"/>
    <n v="2481"/>
  </r>
  <r>
    <s v="H"/>
    <s v="Knick Knacks"/>
    <n v="2022"/>
    <n v="4"/>
    <x v="3"/>
    <n v="1"/>
    <x v="1"/>
    <n v="303977.12"/>
    <n v="4975"/>
  </r>
  <r>
    <s v="H"/>
    <s v="Knick Knacks"/>
    <n v="2022"/>
    <n v="4"/>
    <x v="3"/>
    <n v="2"/>
    <x v="2"/>
    <n v="7090.64"/>
    <n v="760"/>
  </r>
  <r>
    <s v="H"/>
    <s v="Knick Knacks"/>
    <n v="2022"/>
    <n v="4"/>
    <x v="3"/>
    <n v="3"/>
    <x v="3"/>
    <n v="59954.26"/>
    <n v="2210"/>
  </r>
  <r>
    <s v="H"/>
    <s v="Knick Knacks"/>
    <n v="2022"/>
    <n v="4"/>
    <x v="3"/>
    <n v="4"/>
    <x v="4"/>
    <n v="283443.63"/>
    <n v="4804"/>
  </r>
  <r>
    <s v="H"/>
    <s v="Knick Knacks"/>
    <n v="2022"/>
    <n v="4"/>
    <x v="3"/>
    <n v="5"/>
    <x v="5"/>
    <n v="603.4"/>
    <n v="222"/>
  </r>
  <r>
    <s v="H"/>
    <s v="Knick Knacks"/>
    <n v="2022"/>
    <n v="4"/>
    <x v="3"/>
    <n v="6"/>
    <x v="6"/>
    <n v="30475.14"/>
    <n v="1575"/>
  </r>
  <r>
    <s v="H"/>
    <s v="Knick Knacks"/>
    <n v="2022"/>
    <n v="5"/>
    <x v="4"/>
    <m/>
    <x v="0"/>
    <n v="259974.35"/>
    <n v="4487"/>
  </r>
  <r>
    <s v="H"/>
    <s v="Knick Knacks"/>
    <n v="2022"/>
    <n v="5"/>
    <x v="4"/>
    <n v="1"/>
    <x v="1"/>
    <n v="87667.92"/>
    <n v="2606"/>
  </r>
  <r>
    <s v="H"/>
    <s v="Knick Knacks"/>
    <n v="2022"/>
    <n v="5"/>
    <x v="4"/>
    <n v="2"/>
    <x v="2"/>
    <n v="188423.15"/>
    <n v="3820"/>
  </r>
  <r>
    <s v="H"/>
    <s v="Knick Knacks"/>
    <n v="2022"/>
    <n v="5"/>
    <x v="4"/>
    <n v="3"/>
    <x v="3"/>
    <n v="288239.86"/>
    <n v="4724"/>
  </r>
  <r>
    <s v="H"/>
    <s v="Knick Knacks"/>
    <n v="2022"/>
    <n v="5"/>
    <x v="4"/>
    <n v="4"/>
    <x v="4"/>
    <n v="359.27"/>
    <n v="167"/>
  </r>
  <r>
    <s v="H"/>
    <s v="Knick Knacks"/>
    <n v="2022"/>
    <n v="5"/>
    <x v="4"/>
    <n v="5"/>
    <x v="5"/>
    <n v="438.1"/>
    <n v="184"/>
  </r>
  <r>
    <s v="H"/>
    <s v="Knick Knacks"/>
    <n v="2022"/>
    <n v="5"/>
    <x v="4"/>
    <n v="6"/>
    <x v="6"/>
    <n v="2188.48"/>
    <n v="412"/>
  </r>
  <r>
    <s v="H"/>
    <s v="Knick Knacks"/>
    <n v="2023"/>
    <n v="1"/>
    <x v="0"/>
    <m/>
    <x v="0"/>
    <n v="24600"/>
    <n v="746"/>
  </r>
  <r>
    <s v="H"/>
    <s v="Knick Knacks"/>
    <n v="2023"/>
    <n v="1"/>
    <x v="0"/>
    <n v="1"/>
    <x v="1"/>
    <n v="82000"/>
    <n v="1492"/>
  </r>
  <r>
    <s v="H"/>
    <s v="Knick Knacks"/>
    <n v="2023"/>
    <n v="1"/>
    <x v="0"/>
    <n v="2"/>
    <x v="2"/>
    <n v="94300"/>
    <n v="1492"/>
  </r>
  <r>
    <s v="H"/>
    <s v="Knick Knacks"/>
    <n v="2023"/>
    <n v="1"/>
    <x v="0"/>
    <n v="3"/>
    <x v="3"/>
    <n v="94300"/>
    <n v="1492"/>
  </r>
  <r>
    <s v="H"/>
    <s v="Knick Knacks"/>
    <n v="2023"/>
    <n v="1"/>
    <x v="0"/>
    <n v="4"/>
    <x v="4"/>
    <n v="24600"/>
    <n v="746"/>
  </r>
  <r>
    <s v="H"/>
    <s v="Knick Knacks"/>
    <n v="2023"/>
    <n v="1"/>
    <x v="0"/>
    <n v="5"/>
    <x v="5"/>
    <n v="123000"/>
    <n v="1865"/>
  </r>
  <r>
    <s v="H"/>
    <s v="Knick Knacks"/>
    <n v="2023"/>
    <n v="1"/>
    <x v="0"/>
    <n v="6"/>
    <x v="6"/>
    <n v="20500"/>
    <n v="746"/>
  </r>
  <r>
    <s v="H"/>
    <s v="Knick Knacks"/>
    <n v="2023"/>
    <n v="2"/>
    <x v="1"/>
    <m/>
    <x v="0"/>
    <n v="135300"/>
    <n v="1865"/>
  </r>
  <r>
    <s v="H"/>
    <s v="Knick Knacks"/>
    <n v="2023"/>
    <n v="2"/>
    <x v="1"/>
    <n v="1"/>
    <x v="1"/>
    <n v="32800"/>
    <n v="1119"/>
  </r>
  <r>
    <s v="H"/>
    <s v="Knick Knacks"/>
    <n v="2023"/>
    <n v="2"/>
    <x v="1"/>
    <n v="2"/>
    <x v="2"/>
    <n v="53300"/>
    <n v="1119"/>
  </r>
  <r>
    <s v="H"/>
    <s v="Knick Knacks"/>
    <n v="2023"/>
    <n v="2"/>
    <x v="1"/>
    <n v="3"/>
    <x v="3"/>
    <n v="114800.00000000001"/>
    <n v="1865"/>
  </r>
  <r>
    <s v="H"/>
    <s v="Knick Knacks"/>
    <n v="2023"/>
    <n v="2"/>
    <x v="1"/>
    <n v="4"/>
    <x v="4"/>
    <n v="0"/>
    <n v="0"/>
  </r>
  <r>
    <s v="H"/>
    <s v="Knick Knacks"/>
    <n v="2023"/>
    <n v="2"/>
    <x v="1"/>
    <n v="5"/>
    <x v="5"/>
    <n v="24600"/>
    <n v="746"/>
  </r>
  <r>
    <s v="H"/>
    <s v="Knick Knacks"/>
    <n v="2023"/>
    <n v="2"/>
    <x v="1"/>
    <n v="6"/>
    <x v="6"/>
    <n v="12300"/>
    <n v="746"/>
  </r>
  <r>
    <s v="H"/>
    <s v="Knick Knacks"/>
    <n v="2023"/>
    <n v="3"/>
    <x v="2"/>
    <m/>
    <x v="0"/>
    <n v="24600"/>
    <n v="746"/>
  </r>
  <r>
    <s v="H"/>
    <s v="Knick Knacks"/>
    <n v="2023"/>
    <n v="3"/>
    <x v="2"/>
    <n v="1"/>
    <x v="1"/>
    <n v="118899.99999999999"/>
    <n v="1865"/>
  </r>
  <r>
    <s v="H"/>
    <s v="Knick Knacks"/>
    <n v="2023"/>
    <n v="3"/>
    <x v="2"/>
    <n v="2"/>
    <x v="2"/>
    <n v="16400"/>
    <n v="746"/>
  </r>
  <r>
    <s v="H"/>
    <s v="Knick Knacks"/>
    <n v="2023"/>
    <n v="3"/>
    <x v="2"/>
    <n v="3"/>
    <x v="3"/>
    <n v="4100"/>
    <n v="373"/>
  </r>
  <r>
    <s v="H"/>
    <s v="Knick Knacks"/>
    <n v="2023"/>
    <n v="3"/>
    <x v="2"/>
    <n v="4"/>
    <x v="4"/>
    <n v="69700"/>
    <n v="1492"/>
  </r>
  <r>
    <s v="H"/>
    <s v="Knick Knacks"/>
    <n v="2023"/>
    <n v="3"/>
    <x v="2"/>
    <n v="5"/>
    <x v="5"/>
    <n v="24600"/>
    <n v="746"/>
  </r>
  <r>
    <s v="H"/>
    <s v="Knick Knacks"/>
    <n v="2023"/>
    <n v="3"/>
    <x v="2"/>
    <n v="6"/>
    <x v="6"/>
    <n v="0"/>
    <n v="0"/>
  </r>
  <r>
    <s v="H"/>
    <s v="Knick Knacks"/>
    <n v="2023"/>
    <n v="4"/>
    <x v="3"/>
    <m/>
    <x v="0"/>
    <n v="24600"/>
    <n v="746"/>
  </r>
  <r>
    <s v="H"/>
    <s v="Knick Knacks"/>
    <n v="2023"/>
    <n v="4"/>
    <x v="3"/>
    <n v="1"/>
    <x v="1"/>
    <n v="102500"/>
    <n v="1492"/>
  </r>
  <r>
    <s v="H"/>
    <s v="Knick Knacks"/>
    <n v="2023"/>
    <n v="4"/>
    <x v="3"/>
    <n v="2"/>
    <x v="2"/>
    <n v="4100"/>
    <n v="373"/>
  </r>
  <r>
    <s v="H"/>
    <s v="Knick Knacks"/>
    <n v="2023"/>
    <n v="4"/>
    <x v="3"/>
    <n v="3"/>
    <x v="3"/>
    <n v="20500"/>
    <n v="746"/>
  </r>
  <r>
    <s v="H"/>
    <s v="Knick Knacks"/>
    <n v="2023"/>
    <n v="4"/>
    <x v="3"/>
    <n v="4"/>
    <x v="4"/>
    <n v="94300"/>
    <n v="1492"/>
  </r>
  <r>
    <s v="H"/>
    <s v="Knick Knacks"/>
    <n v="2023"/>
    <n v="4"/>
    <x v="3"/>
    <n v="5"/>
    <x v="5"/>
    <n v="0"/>
    <n v="0"/>
  </r>
  <r>
    <s v="H"/>
    <s v="Knick Knacks"/>
    <n v="2023"/>
    <n v="4"/>
    <x v="3"/>
    <n v="6"/>
    <x v="6"/>
    <n v="12300"/>
    <n v="373"/>
  </r>
  <r>
    <s v="H"/>
    <s v="Knick Knacks"/>
    <n v="2023"/>
    <n v="5"/>
    <x v="4"/>
    <m/>
    <x v="0"/>
    <n v="102500"/>
    <n v="1492"/>
  </r>
  <r>
    <s v="H"/>
    <s v="Knick Knacks"/>
    <n v="2023"/>
    <n v="5"/>
    <x v="4"/>
    <n v="1"/>
    <x v="1"/>
    <n v="36900"/>
    <n v="1119"/>
  </r>
  <r>
    <s v="H"/>
    <s v="Knick Knacks"/>
    <n v="2023"/>
    <n v="5"/>
    <x v="4"/>
    <n v="2"/>
    <x v="2"/>
    <n v="73800"/>
    <n v="1492"/>
  </r>
  <r>
    <s v="H"/>
    <s v="Knick Knacks"/>
    <n v="2023"/>
    <n v="5"/>
    <x v="4"/>
    <n v="3"/>
    <x v="3"/>
    <n v="114800.00000000001"/>
    <n v="1865"/>
  </r>
  <r>
    <s v="H"/>
    <s v="Knick Knacks"/>
    <n v="2023"/>
    <n v="5"/>
    <x v="4"/>
    <n v="4"/>
    <x v="4"/>
    <n v="0"/>
    <n v="0"/>
  </r>
  <r>
    <s v="H"/>
    <s v="Knick Knacks"/>
    <n v="2023"/>
    <n v="5"/>
    <x v="4"/>
    <n v="5"/>
    <x v="5"/>
    <n v="0"/>
    <n v="0"/>
  </r>
  <r>
    <s v="H"/>
    <s v="Knick Knacks"/>
    <n v="2023"/>
    <n v="5"/>
    <x v="4"/>
    <n v="6"/>
    <x v="6"/>
    <n v="0"/>
    <n v="0"/>
  </r>
  <r>
    <s v="I"/>
    <s v="Store Use"/>
    <n v="2022"/>
    <n v="1"/>
    <x v="0"/>
    <m/>
    <x v="0"/>
    <n v="371.37"/>
    <n v="621"/>
  </r>
  <r>
    <s v="I"/>
    <s v="Store Use"/>
    <n v="2022"/>
    <n v="1"/>
    <x v="0"/>
    <n v="1"/>
    <x v="1"/>
    <n v="1170.3"/>
    <n v="1102"/>
  </r>
  <r>
    <s v="I"/>
    <s v="Store Use"/>
    <n v="2022"/>
    <n v="1"/>
    <x v="0"/>
    <n v="2"/>
    <x v="2"/>
    <n v="1330.96"/>
    <n v="1175"/>
  </r>
  <r>
    <s v="I"/>
    <s v="Store Use"/>
    <n v="2022"/>
    <n v="1"/>
    <x v="0"/>
    <n v="3"/>
    <x v="3"/>
    <n v="1361.35"/>
    <n v="1188"/>
  </r>
  <r>
    <s v="I"/>
    <s v="Store Use"/>
    <n v="2022"/>
    <n v="1"/>
    <x v="0"/>
    <n v="4"/>
    <x v="4"/>
    <n v="372.5"/>
    <n v="621"/>
  </r>
  <r>
    <s v="I"/>
    <s v="Store Use"/>
    <n v="2022"/>
    <n v="1"/>
    <x v="0"/>
    <n v="5"/>
    <x v="5"/>
    <n v="1803.78"/>
    <n v="1368"/>
  </r>
  <r>
    <s v="I"/>
    <s v="Store Use"/>
    <n v="2022"/>
    <n v="1"/>
    <x v="0"/>
    <n v="6"/>
    <x v="6"/>
    <n v="283.39"/>
    <n v="542"/>
  </r>
  <r>
    <s v="I"/>
    <s v="Store Use"/>
    <n v="2022"/>
    <n v="2"/>
    <x v="1"/>
    <m/>
    <x v="0"/>
    <n v="2575.9499999999998"/>
    <n v="1585"/>
  </r>
  <r>
    <s v="I"/>
    <s v="Store Use"/>
    <n v="2022"/>
    <n v="2"/>
    <x v="1"/>
    <n v="1"/>
    <x v="1"/>
    <n v="616.26"/>
    <n v="775"/>
  </r>
  <r>
    <s v="I"/>
    <s v="Store Use"/>
    <n v="2022"/>
    <n v="2"/>
    <x v="1"/>
    <n v="2"/>
    <x v="2"/>
    <n v="985.27"/>
    <n v="980"/>
  </r>
  <r>
    <s v="I"/>
    <s v="Store Use"/>
    <n v="2022"/>
    <n v="2"/>
    <x v="1"/>
    <n v="3"/>
    <x v="3"/>
    <n v="2156.42"/>
    <n v="1450"/>
  </r>
  <r>
    <s v="I"/>
    <s v="Store Use"/>
    <n v="2022"/>
    <n v="2"/>
    <x v="1"/>
    <n v="4"/>
    <x v="4"/>
    <n v="1.52"/>
    <n v="38"/>
  </r>
  <r>
    <s v="I"/>
    <s v="Store Use"/>
    <n v="2022"/>
    <n v="2"/>
    <x v="1"/>
    <n v="5"/>
    <x v="5"/>
    <n v="447.94"/>
    <n v="661"/>
  </r>
  <r>
    <s v="I"/>
    <s v="Store Use"/>
    <n v="2022"/>
    <n v="2"/>
    <x v="1"/>
    <n v="6"/>
    <x v="6"/>
    <n v="269.61"/>
    <n v="513"/>
  </r>
  <r>
    <s v="I"/>
    <s v="Store Use"/>
    <n v="2022"/>
    <n v="3"/>
    <x v="2"/>
    <m/>
    <x v="0"/>
    <n v="502.01"/>
    <n v="688"/>
  </r>
  <r>
    <s v="I"/>
    <s v="Store Use"/>
    <n v="2022"/>
    <n v="3"/>
    <x v="2"/>
    <n v="1"/>
    <x v="1"/>
    <n v="2404.08"/>
    <n v="1506"/>
  </r>
  <r>
    <s v="I"/>
    <s v="Store Use"/>
    <n v="2022"/>
    <n v="3"/>
    <x v="2"/>
    <n v="2"/>
    <x v="2"/>
    <n v="328.45"/>
    <n v="557"/>
  </r>
  <r>
    <s v="I"/>
    <s v="Store Use"/>
    <n v="2022"/>
    <n v="3"/>
    <x v="2"/>
    <n v="3"/>
    <x v="3"/>
    <n v="47.08"/>
    <n v="211"/>
  </r>
  <r>
    <s v="I"/>
    <s v="Store Use"/>
    <n v="2022"/>
    <n v="3"/>
    <x v="2"/>
    <n v="4"/>
    <x v="4"/>
    <n v="1414"/>
    <n v="1155"/>
  </r>
  <r>
    <s v="I"/>
    <s v="Store Use"/>
    <n v="2022"/>
    <n v="3"/>
    <x v="2"/>
    <n v="5"/>
    <x v="5"/>
    <n v="510.15"/>
    <n v="694"/>
  </r>
  <r>
    <s v="I"/>
    <s v="Store Use"/>
    <n v="2022"/>
    <n v="3"/>
    <x v="2"/>
    <n v="6"/>
    <x v="6"/>
    <n v="14.79"/>
    <n v="118"/>
  </r>
  <r>
    <s v="I"/>
    <s v="Store Use"/>
    <n v="2022"/>
    <n v="4"/>
    <x v="3"/>
    <m/>
    <x v="0"/>
    <n v="491.86"/>
    <n v="682"/>
  </r>
  <r>
    <s v="I"/>
    <s v="Store Use"/>
    <n v="2022"/>
    <n v="4"/>
    <x v="3"/>
    <n v="1"/>
    <x v="1"/>
    <n v="1978.46"/>
    <n v="1368"/>
  </r>
  <r>
    <s v="I"/>
    <s v="Store Use"/>
    <n v="2022"/>
    <n v="4"/>
    <x v="3"/>
    <n v="2"/>
    <x v="2"/>
    <n v="46.15"/>
    <n v="209"/>
  </r>
  <r>
    <s v="I"/>
    <s v="Store Use"/>
    <n v="2022"/>
    <n v="4"/>
    <x v="3"/>
    <n v="3"/>
    <x v="3"/>
    <n v="390.22"/>
    <n v="608"/>
  </r>
  <r>
    <s v="I"/>
    <s v="Store Use"/>
    <n v="2022"/>
    <n v="4"/>
    <x v="3"/>
    <n v="4"/>
    <x v="4"/>
    <n v="1844.82"/>
    <n v="1321"/>
  </r>
  <r>
    <s v="I"/>
    <s v="Store Use"/>
    <n v="2022"/>
    <n v="4"/>
    <x v="3"/>
    <n v="5"/>
    <x v="5"/>
    <n v="3.93"/>
    <n v="61"/>
  </r>
  <r>
    <s v="I"/>
    <s v="Store Use"/>
    <n v="2022"/>
    <n v="4"/>
    <x v="3"/>
    <n v="6"/>
    <x v="6"/>
    <n v="198.35"/>
    <n v="433"/>
  </r>
  <r>
    <s v="I"/>
    <s v="Store Use"/>
    <n v="2022"/>
    <n v="5"/>
    <x v="4"/>
    <m/>
    <x v="0"/>
    <n v="3554.45"/>
    <n v="1789"/>
  </r>
  <r>
    <s v="I"/>
    <s v="Store Use"/>
    <n v="2022"/>
    <n v="5"/>
    <x v="4"/>
    <n v="1"/>
    <x v="1"/>
    <n v="1198.6199999999999"/>
    <n v="1039"/>
  </r>
  <r>
    <s v="I"/>
    <s v="Store Use"/>
    <n v="2022"/>
    <n v="5"/>
    <x v="4"/>
    <n v="2"/>
    <x v="2"/>
    <n v="2576.1799999999998"/>
    <n v="1523"/>
  </r>
  <r>
    <s v="I"/>
    <s v="Store Use"/>
    <n v="2022"/>
    <n v="5"/>
    <x v="4"/>
    <n v="3"/>
    <x v="3"/>
    <n v="3940.9"/>
    <n v="1883"/>
  </r>
  <r>
    <s v="I"/>
    <s v="Store Use"/>
    <n v="2022"/>
    <n v="5"/>
    <x v="4"/>
    <n v="4"/>
    <x v="4"/>
    <n v="4.91"/>
    <n v="66"/>
  </r>
  <r>
    <s v="I"/>
    <s v="Store Use"/>
    <n v="2022"/>
    <n v="5"/>
    <x v="4"/>
    <n v="5"/>
    <x v="5"/>
    <n v="5.99"/>
    <n v="73"/>
  </r>
  <r>
    <s v="I"/>
    <s v="Store Use"/>
    <n v="2022"/>
    <n v="5"/>
    <x v="4"/>
    <n v="6"/>
    <x v="6"/>
    <n v="29.92"/>
    <n v="164"/>
  </r>
  <r>
    <s v="I"/>
    <s v="Store Use"/>
    <n v="2023"/>
    <n v="1"/>
    <x v="0"/>
    <m/>
    <x v="0"/>
    <n v="397.57"/>
    <n v="559"/>
  </r>
  <r>
    <s v="I"/>
    <s v="Store Use"/>
    <n v="2023"/>
    <n v="1"/>
    <x v="0"/>
    <n v="1"/>
    <x v="1"/>
    <n v="1252.8499999999999"/>
    <n v="993"/>
  </r>
  <r>
    <s v="I"/>
    <s v="Store Use"/>
    <n v="2023"/>
    <n v="1"/>
    <x v="0"/>
    <n v="2"/>
    <x v="2"/>
    <n v="1424.84"/>
    <n v="1058"/>
  </r>
  <r>
    <s v="I"/>
    <s v="Store Use"/>
    <n v="2023"/>
    <n v="1"/>
    <x v="0"/>
    <n v="3"/>
    <x v="3"/>
    <n v="1457.38"/>
    <n v="1071"/>
  </r>
  <r>
    <s v="I"/>
    <s v="Store Use"/>
    <n v="2023"/>
    <n v="1"/>
    <x v="0"/>
    <n v="4"/>
    <x v="4"/>
    <n v="398.77"/>
    <n v="560"/>
  </r>
  <r>
    <s v="I"/>
    <s v="Store Use"/>
    <n v="2023"/>
    <n v="1"/>
    <x v="0"/>
    <n v="5"/>
    <x v="5"/>
    <n v="1931.01"/>
    <n v="1232"/>
  </r>
  <r>
    <s v="I"/>
    <s v="Store Use"/>
    <n v="2023"/>
    <n v="1"/>
    <x v="0"/>
    <n v="6"/>
    <x v="6"/>
    <n v="303.38"/>
    <n v="488"/>
  </r>
  <r>
    <s v="I"/>
    <s v="Store Use"/>
    <n v="2023"/>
    <n v="2"/>
    <x v="1"/>
    <m/>
    <x v="0"/>
    <n v="2291.5300000000002"/>
    <n v="1518"/>
  </r>
  <r>
    <s v="I"/>
    <s v="Store Use"/>
    <n v="2023"/>
    <n v="2"/>
    <x v="1"/>
    <n v="1"/>
    <x v="1"/>
    <n v="548.22"/>
    <n v="743"/>
  </r>
  <r>
    <s v="I"/>
    <s v="Store Use"/>
    <n v="2023"/>
    <n v="2"/>
    <x v="1"/>
    <n v="2"/>
    <x v="2"/>
    <n v="876.48"/>
    <n v="939"/>
  </r>
  <r>
    <s v="I"/>
    <s v="Store Use"/>
    <n v="2023"/>
    <n v="2"/>
    <x v="1"/>
    <n v="3"/>
    <x v="3"/>
    <n v="1918.32"/>
    <n v="1389"/>
  </r>
  <r>
    <s v="I"/>
    <s v="Store Use"/>
    <n v="2023"/>
    <n v="2"/>
    <x v="1"/>
    <n v="4"/>
    <x v="4"/>
    <n v="1.35"/>
    <n v="37"/>
  </r>
  <r>
    <s v="I"/>
    <s v="Store Use"/>
    <n v="2023"/>
    <n v="2"/>
    <x v="1"/>
    <n v="5"/>
    <x v="5"/>
    <n v="398.48"/>
    <n v="633"/>
  </r>
  <r>
    <s v="I"/>
    <s v="Store Use"/>
    <n v="2023"/>
    <n v="2"/>
    <x v="1"/>
    <n v="6"/>
    <x v="6"/>
    <n v="239.84"/>
    <n v="491"/>
  </r>
  <r>
    <s v="I"/>
    <s v="Store Use"/>
    <n v="2023"/>
    <n v="3"/>
    <x v="2"/>
    <m/>
    <x v="0"/>
    <n v="464.64"/>
    <n v="683"/>
  </r>
  <r>
    <s v="I"/>
    <s v="Store Use"/>
    <n v="2023"/>
    <n v="3"/>
    <x v="2"/>
    <n v="1"/>
    <x v="1"/>
    <n v="2225.1"/>
    <n v="1495"/>
  </r>
  <r>
    <s v="I"/>
    <s v="Store Use"/>
    <n v="2023"/>
    <n v="3"/>
    <x v="2"/>
    <n v="2"/>
    <x v="2"/>
    <n v="304"/>
    <n v="553"/>
  </r>
  <r>
    <s v="I"/>
    <s v="Store Use"/>
    <n v="2023"/>
    <n v="3"/>
    <x v="2"/>
    <n v="3"/>
    <x v="3"/>
    <n v="43.58"/>
    <n v="209"/>
  </r>
  <r>
    <s v="I"/>
    <s v="Store Use"/>
    <n v="2023"/>
    <n v="3"/>
    <x v="2"/>
    <n v="4"/>
    <x v="4"/>
    <n v="1308.73"/>
    <n v="1146"/>
  </r>
  <r>
    <s v="I"/>
    <s v="Store Use"/>
    <n v="2023"/>
    <n v="3"/>
    <x v="2"/>
    <n v="5"/>
    <x v="5"/>
    <n v="472.17"/>
    <n v="689"/>
  </r>
  <r>
    <s v="I"/>
    <s v="Store Use"/>
    <n v="2023"/>
    <n v="3"/>
    <x v="2"/>
    <n v="6"/>
    <x v="6"/>
    <n v="13.68"/>
    <n v="117"/>
  </r>
  <r>
    <s v="I"/>
    <s v="Store Use"/>
    <n v="2023"/>
    <n v="4"/>
    <x v="3"/>
    <m/>
    <x v="0"/>
    <n v="479.52"/>
    <n v="666"/>
  </r>
  <r>
    <s v="I"/>
    <s v="Store Use"/>
    <n v="2023"/>
    <n v="4"/>
    <x v="3"/>
    <n v="1"/>
    <x v="1"/>
    <n v="1928.82"/>
    <n v="1335"/>
  </r>
  <r>
    <s v="I"/>
    <s v="Store Use"/>
    <n v="2023"/>
    <n v="4"/>
    <x v="3"/>
    <n v="2"/>
    <x v="2"/>
    <n v="44.99"/>
    <n v="204"/>
  </r>
  <r>
    <s v="I"/>
    <s v="Store Use"/>
    <n v="2023"/>
    <n v="4"/>
    <x v="3"/>
    <n v="3"/>
    <x v="3"/>
    <n v="380.43"/>
    <n v="593"/>
  </r>
  <r>
    <s v="I"/>
    <s v="Store Use"/>
    <n v="2023"/>
    <n v="4"/>
    <x v="3"/>
    <n v="4"/>
    <x v="4"/>
    <n v="1798.52"/>
    <n v="1289"/>
  </r>
  <r>
    <s v="I"/>
    <s v="Store Use"/>
    <n v="2023"/>
    <n v="4"/>
    <x v="3"/>
    <n v="5"/>
    <x v="5"/>
    <n v="3.83"/>
    <n v="59"/>
  </r>
  <r>
    <s v="I"/>
    <s v="Store Use"/>
    <n v="2023"/>
    <n v="4"/>
    <x v="3"/>
    <n v="6"/>
    <x v="6"/>
    <n v="193.37"/>
    <n v="423"/>
  </r>
  <r>
    <s v="I"/>
    <s v="Store Use"/>
    <n v="2023"/>
    <n v="5"/>
    <x v="4"/>
    <m/>
    <x v="0"/>
    <n v="4061.39"/>
    <n v="1935"/>
  </r>
  <r>
    <s v="I"/>
    <s v="Store Use"/>
    <n v="2023"/>
    <n v="5"/>
    <x v="4"/>
    <n v="1"/>
    <x v="1"/>
    <n v="1369.57"/>
    <n v="1124"/>
  </r>
  <r>
    <s v="I"/>
    <s v="Store Use"/>
    <n v="2023"/>
    <n v="5"/>
    <x v="4"/>
    <n v="2"/>
    <x v="2"/>
    <n v="2943.6"/>
    <n v="1647"/>
  </r>
  <r>
    <s v="I"/>
    <s v="Store Use"/>
    <n v="2023"/>
    <n v="5"/>
    <x v="4"/>
    <n v="3"/>
    <x v="3"/>
    <n v="4502.96"/>
    <n v="2038"/>
  </r>
  <r>
    <s v="I"/>
    <s v="Store Use"/>
    <n v="2023"/>
    <n v="5"/>
    <x v="4"/>
    <n v="4"/>
    <x v="4"/>
    <n v="5.61"/>
    <n v="72"/>
  </r>
  <r>
    <s v="I"/>
    <s v="Store Use"/>
    <n v="2023"/>
    <n v="5"/>
    <x v="4"/>
    <n v="5"/>
    <x v="5"/>
    <n v="6.84"/>
    <n v="79"/>
  </r>
  <r>
    <s v="I"/>
    <s v="Store Use"/>
    <n v="2023"/>
    <n v="5"/>
    <x v="4"/>
    <n v="6"/>
    <x v="6"/>
    <n v="34.19"/>
    <n v="178"/>
  </r>
  <r>
    <s v="J"/>
    <s v="Misc"/>
    <n v="2022"/>
    <n v="1"/>
    <x v="0"/>
    <m/>
    <x v="0"/>
    <n v="6577.58"/>
    <n v="2019"/>
  </r>
  <r>
    <s v="J"/>
    <s v="Misc"/>
    <n v="2022"/>
    <n v="1"/>
    <x v="0"/>
    <n v="1"/>
    <x v="1"/>
    <n v="20727.740000000002"/>
    <n v="3584"/>
  </r>
  <r>
    <s v="J"/>
    <s v="Misc"/>
    <n v="2022"/>
    <n v="1"/>
    <x v="0"/>
    <n v="2"/>
    <x v="2"/>
    <n v="23573.17"/>
    <n v="3822"/>
  </r>
  <r>
    <s v="J"/>
    <s v="Misc"/>
    <n v="2022"/>
    <n v="1"/>
    <x v="0"/>
    <n v="3"/>
    <x v="3"/>
    <n v="24111.52"/>
    <n v="3865"/>
  </r>
  <r>
    <s v="J"/>
    <s v="Misc"/>
    <n v="2022"/>
    <n v="1"/>
    <x v="0"/>
    <n v="4"/>
    <x v="4"/>
    <n v="6597.48"/>
    <n v="2023"/>
  </r>
  <r>
    <s v="J"/>
    <s v="Misc"/>
    <n v="2022"/>
    <n v="1"/>
    <x v="0"/>
    <n v="5"/>
    <x v="5"/>
    <n v="31947.58"/>
    <n v="4449"/>
  </r>
  <r>
    <s v="J"/>
    <s v="Misc"/>
    <n v="2022"/>
    <n v="1"/>
    <x v="0"/>
    <n v="6"/>
    <x v="6"/>
    <n v="5019.33"/>
    <n v="1764"/>
  </r>
  <r>
    <s v="J"/>
    <s v="Misc"/>
    <n v="2022"/>
    <n v="2"/>
    <x v="1"/>
    <m/>
    <x v="0"/>
    <n v="29736.76"/>
    <n v="4163"/>
  </r>
  <r>
    <s v="J"/>
    <s v="Misc"/>
    <n v="2022"/>
    <n v="2"/>
    <x v="1"/>
    <n v="1"/>
    <x v="1"/>
    <n v="7114.15"/>
    <n v="2036"/>
  </r>
  <r>
    <s v="J"/>
    <s v="Misc"/>
    <n v="2022"/>
    <n v="2"/>
    <x v="1"/>
    <n v="2"/>
    <x v="2"/>
    <n v="11373.98"/>
    <n v="2575"/>
  </r>
  <r>
    <s v="J"/>
    <s v="Misc"/>
    <n v="2022"/>
    <n v="2"/>
    <x v="1"/>
    <n v="3"/>
    <x v="3"/>
    <n v="24893.67"/>
    <n v="3809"/>
  </r>
  <r>
    <s v="J"/>
    <s v="Misc"/>
    <n v="2022"/>
    <n v="2"/>
    <x v="1"/>
    <n v="4"/>
    <x v="4"/>
    <n v="17.510000000000002"/>
    <n v="101"/>
  </r>
  <r>
    <s v="J"/>
    <s v="Misc"/>
    <n v="2022"/>
    <n v="2"/>
    <x v="1"/>
    <n v="5"/>
    <x v="5"/>
    <n v="5171.04"/>
    <n v="1736"/>
  </r>
  <r>
    <s v="J"/>
    <s v="Misc"/>
    <n v="2022"/>
    <n v="2"/>
    <x v="1"/>
    <n v="6"/>
    <x v="6"/>
    <n v="3112.33"/>
    <n v="1347"/>
  </r>
  <r>
    <s v="J"/>
    <s v="Misc"/>
    <n v="2022"/>
    <n v="3"/>
    <x v="2"/>
    <m/>
    <x v="0"/>
    <n v="5591.03"/>
    <n v="1776"/>
  </r>
  <r>
    <s v="J"/>
    <s v="Misc"/>
    <n v="2022"/>
    <n v="3"/>
    <x v="2"/>
    <n v="1"/>
    <x v="1"/>
    <n v="26774.73"/>
    <n v="3886"/>
  </r>
  <r>
    <s v="J"/>
    <s v="Misc"/>
    <n v="2022"/>
    <n v="3"/>
    <x v="2"/>
    <n v="2"/>
    <x v="2"/>
    <n v="3658.05"/>
    <n v="1436"/>
  </r>
  <r>
    <s v="J"/>
    <s v="Misc"/>
    <n v="2022"/>
    <n v="3"/>
    <x v="2"/>
    <n v="3"/>
    <x v="3"/>
    <n v="524.39"/>
    <n v="544"/>
  </r>
  <r>
    <s v="J"/>
    <s v="Misc"/>
    <n v="2022"/>
    <n v="3"/>
    <x v="2"/>
    <n v="4"/>
    <x v="4"/>
    <n v="15747.95"/>
    <n v="2980"/>
  </r>
  <r>
    <s v="J"/>
    <s v="Misc"/>
    <n v="2022"/>
    <n v="3"/>
    <x v="2"/>
    <n v="5"/>
    <x v="5"/>
    <n v="5681.67"/>
    <n v="1790"/>
  </r>
  <r>
    <s v="J"/>
    <s v="Misc"/>
    <n v="2022"/>
    <n v="3"/>
    <x v="2"/>
    <n v="6"/>
    <x v="6"/>
    <n v="164.67"/>
    <n v="305"/>
  </r>
  <r>
    <s v="J"/>
    <s v="Misc"/>
    <n v="2022"/>
    <n v="4"/>
    <x v="3"/>
    <m/>
    <x v="0"/>
    <n v="9799.02"/>
    <n v="2354"/>
  </r>
  <r>
    <s v="J"/>
    <s v="Misc"/>
    <n v="2022"/>
    <n v="4"/>
    <x v="3"/>
    <n v="1"/>
    <x v="1"/>
    <n v="39415.32"/>
    <n v="4722"/>
  </r>
  <r>
    <s v="J"/>
    <s v="Misc"/>
    <n v="2022"/>
    <n v="4"/>
    <x v="3"/>
    <n v="2"/>
    <x v="2"/>
    <n v="919.41"/>
    <n v="721"/>
  </r>
  <r>
    <s v="J"/>
    <s v="Misc"/>
    <n v="2022"/>
    <n v="4"/>
    <x v="3"/>
    <n v="3"/>
    <x v="3"/>
    <n v="7773.99"/>
    <n v="2097"/>
  </r>
  <r>
    <s v="J"/>
    <s v="Misc"/>
    <n v="2022"/>
    <n v="4"/>
    <x v="3"/>
    <n v="4"/>
    <x v="4"/>
    <n v="36752.839999999997"/>
    <n v="4559"/>
  </r>
  <r>
    <s v="J"/>
    <s v="Misc"/>
    <n v="2022"/>
    <n v="4"/>
    <x v="3"/>
    <n v="5"/>
    <x v="5"/>
    <n v="78.239999999999995"/>
    <n v="210"/>
  </r>
  <r>
    <s v="J"/>
    <s v="Misc"/>
    <n v="2022"/>
    <n v="4"/>
    <x v="3"/>
    <n v="6"/>
    <x v="6"/>
    <n v="3951.57"/>
    <n v="1495"/>
  </r>
  <r>
    <s v="J"/>
    <s v="Misc"/>
    <n v="2022"/>
    <n v="5"/>
    <x v="4"/>
    <m/>
    <x v="0"/>
    <n v="29709.439999999999"/>
    <n v="3997"/>
  </r>
  <r>
    <s v="J"/>
    <s v="Misc"/>
    <n v="2022"/>
    <n v="5"/>
    <x v="4"/>
    <n v="1"/>
    <x v="1"/>
    <n v="10018.540000000001"/>
    <n v="2321"/>
  </r>
  <r>
    <s v="J"/>
    <s v="Misc"/>
    <n v="2022"/>
    <n v="5"/>
    <x v="4"/>
    <n v="2"/>
    <x v="2"/>
    <n v="21532.69"/>
    <n v="3403"/>
  </r>
  <r>
    <s v="J"/>
    <s v="Misc"/>
    <n v="2022"/>
    <n v="5"/>
    <x v="4"/>
    <n v="3"/>
    <x v="3"/>
    <n v="32939.57"/>
    <n v="4209"/>
  </r>
  <r>
    <s v="J"/>
    <s v="Misc"/>
    <n v="2022"/>
    <n v="5"/>
    <x v="4"/>
    <n v="4"/>
    <x v="4"/>
    <n v="41.06"/>
    <n v="149"/>
  </r>
  <r>
    <s v="J"/>
    <s v="Misc"/>
    <n v="2022"/>
    <n v="5"/>
    <x v="4"/>
    <n v="5"/>
    <x v="5"/>
    <n v="50.07"/>
    <n v="164"/>
  </r>
  <r>
    <s v="J"/>
    <s v="Misc"/>
    <n v="2022"/>
    <n v="5"/>
    <x v="4"/>
    <n v="6"/>
    <x v="6"/>
    <n v="250.1"/>
    <n v="367"/>
  </r>
  <r>
    <s v="J"/>
    <s v="Misc"/>
    <n v="2023"/>
    <n v="1"/>
    <x v="0"/>
    <m/>
    <x v="0"/>
    <n v="5934.17"/>
    <n v="1670"/>
  </r>
  <r>
    <s v="J"/>
    <s v="Misc"/>
    <n v="2023"/>
    <n v="1"/>
    <x v="0"/>
    <n v="1"/>
    <x v="1"/>
    <n v="18700.2"/>
    <n v="2964"/>
  </r>
  <r>
    <s v="J"/>
    <s v="Misc"/>
    <n v="2023"/>
    <n v="1"/>
    <x v="0"/>
    <n v="2"/>
    <x v="2"/>
    <n v="21267.3"/>
    <n v="3161"/>
  </r>
  <r>
    <s v="J"/>
    <s v="Misc"/>
    <n v="2023"/>
    <n v="1"/>
    <x v="0"/>
    <n v="3"/>
    <x v="3"/>
    <n v="21752.99"/>
    <n v="3197"/>
  </r>
  <r>
    <s v="J"/>
    <s v="Misc"/>
    <n v="2023"/>
    <n v="1"/>
    <x v="0"/>
    <n v="4"/>
    <x v="4"/>
    <n v="5952.13"/>
    <n v="1672"/>
  </r>
  <r>
    <s v="J"/>
    <s v="Misc"/>
    <n v="2023"/>
    <n v="1"/>
    <x v="0"/>
    <n v="5"/>
    <x v="5"/>
    <n v="28822.55"/>
    <n v="3680"/>
  </r>
  <r>
    <s v="J"/>
    <s v="Misc"/>
    <n v="2023"/>
    <n v="1"/>
    <x v="0"/>
    <n v="6"/>
    <x v="6"/>
    <n v="4528.3500000000004"/>
    <n v="1459"/>
  </r>
  <r>
    <s v="J"/>
    <s v="Misc"/>
    <n v="2023"/>
    <n v="2"/>
    <x v="1"/>
    <m/>
    <x v="0"/>
    <n v="22293.27"/>
    <n v="3661"/>
  </r>
  <r>
    <s v="J"/>
    <s v="Misc"/>
    <n v="2023"/>
    <n v="2"/>
    <x v="1"/>
    <n v="1"/>
    <x v="1"/>
    <n v="5333.39"/>
    <n v="1791"/>
  </r>
  <r>
    <s v="J"/>
    <s v="Misc"/>
    <n v="2023"/>
    <n v="2"/>
    <x v="1"/>
    <n v="2"/>
    <x v="2"/>
    <n v="8526.93"/>
    <n v="2264"/>
  </r>
  <r>
    <s v="J"/>
    <s v="Misc"/>
    <n v="2023"/>
    <n v="2"/>
    <x v="1"/>
    <n v="3"/>
    <x v="3"/>
    <n v="18662.46"/>
    <n v="3350"/>
  </r>
  <r>
    <s v="J"/>
    <s v="Misc"/>
    <n v="2023"/>
    <n v="2"/>
    <x v="1"/>
    <n v="4"/>
    <x v="4"/>
    <n v="13.13"/>
    <n v="89"/>
  </r>
  <r>
    <s v="J"/>
    <s v="Misc"/>
    <n v="2023"/>
    <n v="2"/>
    <x v="1"/>
    <n v="5"/>
    <x v="5"/>
    <n v="3876.66"/>
    <n v="1527"/>
  </r>
  <r>
    <s v="J"/>
    <s v="Misc"/>
    <n v="2023"/>
    <n v="2"/>
    <x v="1"/>
    <n v="6"/>
    <x v="6"/>
    <n v="2333.27"/>
    <n v="1185"/>
  </r>
  <r>
    <s v="J"/>
    <s v="Misc"/>
    <n v="2023"/>
    <n v="3"/>
    <x v="2"/>
    <m/>
    <x v="0"/>
    <n v="4360.9799999999996"/>
    <n v="1618"/>
  </r>
  <r>
    <s v="J"/>
    <s v="Misc"/>
    <n v="2023"/>
    <n v="3"/>
    <x v="2"/>
    <n v="1"/>
    <x v="1"/>
    <n v="20884.2"/>
    <n v="3541"/>
  </r>
  <r>
    <s v="J"/>
    <s v="Misc"/>
    <n v="2023"/>
    <n v="3"/>
    <x v="2"/>
    <n v="2"/>
    <x v="2"/>
    <n v="2853.27"/>
    <n v="1309"/>
  </r>
  <r>
    <s v="J"/>
    <s v="Misc"/>
    <n v="2023"/>
    <n v="3"/>
    <x v="2"/>
    <n v="3"/>
    <x v="3"/>
    <n v="409.02"/>
    <n v="496"/>
  </r>
  <r>
    <s v="J"/>
    <s v="Misc"/>
    <n v="2023"/>
    <n v="3"/>
    <x v="2"/>
    <n v="4"/>
    <x v="4"/>
    <n v="12283.35"/>
    <n v="2715"/>
  </r>
  <r>
    <s v="J"/>
    <s v="Misc"/>
    <n v="2023"/>
    <n v="3"/>
    <x v="2"/>
    <n v="5"/>
    <x v="5"/>
    <n v="4431.6899999999996"/>
    <n v="1631"/>
  </r>
  <r>
    <s v="J"/>
    <s v="Misc"/>
    <n v="2023"/>
    <n v="3"/>
    <x v="2"/>
    <n v="6"/>
    <x v="6"/>
    <n v="128.44"/>
    <n v="278"/>
  </r>
  <r>
    <s v="J"/>
    <s v="Misc"/>
    <n v="2023"/>
    <n v="4"/>
    <x v="3"/>
    <m/>
    <x v="0"/>
    <n v="8050.79"/>
    <n v="2109"/>
  </r>
  <r>
    <s v="J"/>
    <s v="Misc"/>
    <n v="2023"/>
    <n v="4"/>
    <x v="3"/>
    <n v="1"/>
    <x v="1"/>
    <n v="32383.29"/>
    <n v="4229"/>
  </r>
  <r>
    <s v="J"/>
    <s v="Misc"/>
    <n v="2023"/>
    <n v="4"/>
    <x v="3"/>
    <n v="2"/>
    <x v="2"/>
    <n v="755.38"/>
    <n v="646"/>
  </r>
  <r>
    <s v="J"/>
    <s v="Misc"/>
    <n v="2023"/>
    <n v="4"/>
    <x v="3"/>
    <n v="3"/>
    <x v="3"/>
    <n v="6387.05"/>
    <n v="1878"/>
  </r>
  <r>
    <s v="J"/>
    <s v="Misc"/>
    <n v="2023"/>
    <n v="4"/>
    <x v="3"/>
    <n v="4"/>
    <x v="4"/>
    <n v="30195.81"/>
    <n v="4084"/>
  </r>
  <r>
    <s v="J"/>
    <s v="Misc"/>
    <n v="2023"/>
    <n v="4"/>
    <x v="3"/>
    <n v="5"/>
    <x v="5"/>
    <n v="64.28"/>
    <n v="188"/>
  </r>
  <r>
    <s v="J"/>
    <s v="Misc"/>
    <n v="2023"/>
    <n v="4"/>
    <x v="3"/>
    <n v="6"/>
    <x v="6"/>
    <n v="3246.58"/>
    <n v="1339"/>
  </r>
  <r>
    <s v="J"/>
    <s v="Misc"/>
    <n v="2023"/>
    <n v="5"/>
    <x v="4"/>
    <m/>
    <x v="0"/>
    <n v="28608.12"/>
    <n v="3970"/>
  </r>
  <r>
    <s v="J"/>
    <s v="Misc"/>
    <n v="2023"/>
    <n v="5"/>
    <x v="4"/>
    <n v="1"/>
    <x v="1"/>
    <n v="9647.16"/>
    <n v="2306"/>
  </r>
  <r>
    <s v="J"/>
    <s v="Misc"/>
    <n v="2023"/>
    <n v="5"/>
    <x v="4"/>
    <n v="2"/>
    <x v="2"/>
    <n v="20734.48"/>
    <n v="3380"/>
  </r>
  <r>
    <s v="J"/>
    <s v="Misc"/>
    <n v="2023"/>
    <n v="5"/>
    <x v="4"/>
    <n v="3"/>
    <x v="3"/>
    <n v="31718.52"/>
    <n v="4181"/>
  </r>
  <r>
    <s v="J"/>
    <s v="Misc"/>
    <n v="2023"/>
    <n v="5"/>
    <x v="4"/>
    <n v="4"/>
    <x v="4"/>
    <n v="39.53"/>
    <n v="148"/>
  </r>
  <r>
    <s v="J"/>
    <s v="Misc"/>
    <n v="2023"/>
    <n v="5"/>
    <x v="4"/>
    <n v="5"/>
    <x v="5"/>
    <n v="48.21"/>
    <n v="163"/>
  </r>
  <r>
    <s v="J"/>
    <s v="Misc"/>
    <n v="2023"/>
    <n v="5"/>
    <x v="4"/>
    <n v="6"/>
    <x v="6"/>
    <n v="240.83"/>
    <n v="3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7A5254-9A2B-40AD-B7E9-66DBBB84C621}" name="PivotTable5" cacheId="1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14:B20" firstHeaderRow="1" firstDataRow="1" firstDataCol="1"/>
  <pivotFields count="9">
    <pivotField showAll="0"/>
    <pivotField showAll="0"/>
    <pivotField showAll="0"/>
    <pivotField showAll="0"/>
    <pivotField axis="axisRow"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4"/>
  </rowFields>
  <rowItems count="6">
    <i>
      <x v="1"/>
    </i>
    <i>
      <x v="3"/>
    </i>
    <i>
      <x/>
    </i>
    <i>
      <x v="2"/>
    </i>
    <i>
      <x v="4"/>
    </i>
    <i t="grand">
      <x/>
    </i>
  </rowItems>
  <colItems count="1">
    <i/>
  </colItems>
  <dataFields count="1">
    <dataField name="Sum of Sales" fld="7"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9B4D12-9A15-48A2-B19E-A2B5EDF2590B}" name="PivotTable4" cacheId="1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23:B31" firstHeaderRow="1" firstDataRow="1" firstDataCol="1"/>
  <pivotFields count="9">
    <pivotField showAll="0"/>
    <pivotField showAll="0"/>
    <pivotField showAll="0"/>
    <pivotField showAll="0"/>
    <pivotField showAll="0"/>
    <pivotField showAll="0"/>
    <pivotField axis="axisRow" showAll="0" sortType="descending">
      <items count="9">
        <item x="4"/>
        <item x="1"/>
        <item x="3"/>
        <item x="6"/>
        <item m="1" x="7"/>
        <item x="5"/>
        <item x="2"/>
        <item x="0"/>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6"/>
  </rowFields>
  <rowItems count="8">
    <i>
      <x v="1"/>
    </i>
    <i>
      <x v="2"/>
    </i>
    <i>
      <x v="7"/>
    </i>
    <i>
      <x v="6"/>
    </i>
    <i>
      <x/>
    </i>
    <i>
      <x v="5"/>
    </i>
    <i>
      <x v="3"/>
    </i>
    <i t="grand">
      <x/>
    </i>
  </rowItems>
  <colItems count="1">
    <i/>
  </colItems>
  <dataFields count="1">
    <dataField name="Sum of Sales" fld="7"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48F139-9A64-46EB-8379-F13CE622187F}" name="PivotTable1" cacheId="1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I10" firstHeaderRow="1" firstDataRow="2" firstDataCol="1"/>
  <pivotFields count="9">
    <pivotField showAll="0"/>
    <pivotField showAll="0"/>
    <pivotField showAll="0"/>
    <pivotField showAll="0"/>
    <pivotField axis="axisRow"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showAll="0"/>
    <pivotField axis="axisCol" showAll="0" sortType="descending">
      <items count="9">
        <item x="4"/>
        <item x="1"/>
        <item x="3"/>
        <item x="6"/>
        <item m="1" x="7"/>
        <item x="5"/>
        <item x="2"/>
        <item x="0"/>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4"/>
  </rowFields>
  <rowItems count="6">
    <i>
      <x v="1"/>
    </i>
    <i>
      <x v="3"/>
    </i>
    <i>
      <x/>
    </i>
    <i>
      <x v="2"/>
    </i>
    <i>
      <x v="4"/>
    </i>
    <i t="grand">
      <x/>
    </i>
  </rowItems>
  <colFields count="1">
    <field x="6"/>
  </colFields>
  <colItems count="8">
    <i>
      <x v="1"/>
    </i>
    <i>
      <x v="2"/>
    </i>
    <i>
      <x v="7"/>
    </i>
    <i>
      <x v="6"/>
    </i>
    <i>
      <x/>
    </i>
    <i>
      <x v="5"/>
    </i>
    <i>
      <x v="3"/>
    </i>
    <i t="grand">
      <x/>
    </i>
  </colItems>
  <dataFields count="1">
    <dataField name="Sum of Sales" fld="7" baseField="4" baseItem="0" numFmtId="164"/>
  </dataFields>
  <conditionalFormats count="1">
    <conditionalFormat priority="1">
      <pivotAreas count="1">
        <pivotArea type="data" collapsedLevelsAreSubtotals="1" fieldPosition="0">
          <references count="3">
            <reference field="4294967294" count="1" selected="0">
              <x v="0"/>
            </reference>
            <reference field="4" count="5">
              <x v="0"/>
              <x v="1"/>
              <x v="2"/>
              <x v="3"/>
              <x v="4"/>
            </reference>
            <reference field="6" count="7" selected="0">
              <x v="0"/>
              <x v="1"/>
              <x v="2"/>
              <x v="3"/>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F47370-3BC3-4E88-9D30-0E7634A7F68A}" name="Simulated_Dept_Data" displayName="Simulated_Dept_Data" ref="A1:I701" totalsRowShown="0">
  <tableColumns count="9">
    <tableColumn id="1" xr3:uid="{62DE84ED-52E9-4910-9CB6-E955AF71EAD2}" name="DepartmentID" dataDxfId="3"/>
    <tableColumn id="8" xr3:uid="{6C94BEE0-BF4C-4990-B399-FA8867B9DB1C}" name="Department" dataDxfId="2">
      <calculatedColumnFormula>VLOOKUP(Simulated_Dept_Data[[#This Row],[DepartmentID]],Table578[],2,FALSE)</calculatedColumnFormula>
    </tableColumn>
    <tableColumn id="2" xr3:uid="{E99CEF1B-EC43-4E2C-A156-A6194FC606A3}" name="Year"/>
    <tableColumn id="3" xr3:uid="{262A8A42-64C7-4401-8BA2-C08038DE3817}" name="SegmentID"/>
    <tableColumn id="7" xr3:uid="{A68A5627-C521-4E77-BA98-0D5A28F255E0}" name="Segment" dataDxfId="1">
      <calculatedColumnFormula>VLOOKUP(Simulated_Dept_Data[[#This Row],[SegmentID]],Table5[],2,FALSE)</calculatedColumnFormula>
    </tableColumn>
    <tableColumn id="4" xr3:uid="{59413310-D841-495A-8E51-44ABC3F9A001}" name="ProfileID"/>
    <tableColumn id="9" xr3:uid="{5F071D23-426B-4833-8863-ACA212C3E800}" name="Profile" dataDxfId="0">
      <calculatedColumnFormula>IFERROR(VLOOKUP(Simulated_Dept_Data[[#This Row],[ProfileID]],Table57[],2,FALSE),"NO PROFILE")</calculatedColumnFormula>
    </tableColumn>
    <tableColumn id="5" xr3:uid="{41D61923-99E1-4465-A670-8367A6384291}" name="Sales"/>
    <tableColumn id="6" xr3:uid="{504779CC-7D5A-4DD7-9E80-04DEBEE37536}" name="Customers"/>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E1374A-DC94-4EFA-A8E4-1F9CF6E65B65}" name="Table5" displayName="Table5" ref="A1:B6" totalsRowShown="0">
  <autoFilter ref="A1:B6" xr:uid="{2A94A0F0-034E-4427-9970-4F96653E660C}"/>
  <tableColumns count="2">
    <tableColumn id="1" xr3:uid="{8F7B2935-A2FF-4A6E-AA37-98DA9EDCAE5E}" name="SegmentID"/>
    <tableColumn id="2" xr3:uid="{6F241523-542B-41EB-B223-58A6A402EC5F}" name="Segment Descrip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E227B45-9574-4C98-9B31-5EC44A5D72F8}" name="Table57" displayName="Table57" ref="A1:B7" totalsRowShown="0">
  <autoFilter ref="A1:B7" xr:uid="{2A94A0F0-034E-4427-9970-4F96653E660C}"/>
  <tableColumns count="2">
    <tableColumn id="1" xr3:uid="{40EB4CD3-B816-4B72-BDEB-3DABF649B031}" name="ProfileID"/>
    <tableColumn id="2" xr3:uid="{A1D5C774-EE94-4251-9F5D-A5C66E9F45E3}" name="Profile Descrip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2EE91D9-D5FC-43E1-A3DC-F135246523D1}" name="Table578" displayName="Table578" ref="A1:B11" totalsRowShown="0">
  <autoFilter ref="A1:B11" xr:uid="{2A94A0F0-034E-4427-9970-4F96653E660C}"/>
  <tableColumns count="2">
    <tableColumn id="1" xr3:uid="{5D5C23AC-1B99-4406-8370-AC2CB1DF5441}" name="DepartmentID"/>
    <tableColumn id="2" xr3:uid="{2B4852F5-F4D5-4AD3-96C5-CC64D749EE9B}" name="Department Descrip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3574E-7D06-4D00-A21A-D081778F0A39}">
  <sheetPr>
    <tabColor theme="2" tint="-9.9978637043366805E-2"/>
  </sheetPr>
  <dimension ref="A2:B21"/>
  <sheetViews>
    <sheetView showGridLines="0" zoomScale="90" zoomScaleNormal="90" workbookViewId="0">
      <selection activeCell="B11" sqref="B11"/>
    </sheetView>
  </sheetViews>
  <sheetFormatPr defaultRowHeight="15" x14ac:dyDescent="0.25"/>
  <cols>
    <col min="1" max="1" width="19.42578125" bestFit="1" customWidth="1"/>
    <col min="2" max="2" width="88.42578125" customWidth="1"/>
  </cols>
  <sheetData>
    <row r="2" spans="1:2" ht="45" x14ac:dyDescent="0.25">
      <c r="A2" s="1"/>
      <c r="B2" s="2" t="s">
        <v>46</v>
      </c>
    </row>
    <row r="3" spans="1:2" x14ac:dyDescent="0.25">
      <c r="A3" s="1"/>
      <c r="B3" s="1"/>
    </row>
    <row r="4" spans="1:2" ht="45" x14ac:dyDescent="0.25">
      <c r="A4" s="1"/>
      <c r="B4" s="3" t="s">
        <v>47</v>
      </c>
    </row>
    <row r="5" spans="1:2" x14ac:dyDescent="0.25">
      <c r="A5" s="1"/>
      <c r="B5" s="3"/>
    </row>
    <row r="6" spans="1:2" x14ac:dyDescent="0.25">
      <c r="A6" s="1"/>
      <c r="B6" s="4" t="s">
        <v>42</v>
      </c>
    </row>
    <row r="7" spans="1:2" ht="63" customHeight="1" x14ac:dyDescent="0.25">
      <c r="A7" s="1"/>
      <c r="B7" s="5" t="s">
        <v>52</v>
      </c>
    </row>
    <row r="8" spans="1:2" ht="51" customHeight="1" x14ac:dyDescent="0.25">
      <c r="A8" s="1"/>
      <c r="B8" s="5" t="s">
        <v>53</v>
      </c>
    </row>
    <row r="9" spans="1:2" x14ac:dyDescent="0.25">
      <c r="A9" s="1"/>
      <c r="B9" s="1"/>
    </row>
    <row r="10" spans="1:2" x14ac:dyDescent="0.25">
      <c r="A10" s="2" t="s">
        <v>38</v>
      </c>
      <c r="B10" s="2"/>
    </row>
    <row r="11" spans="1:2" ht="45" x14ac:dyDescent="0.25">
      <c r="A11" s="1"/>
      <c r="B11" s="1" t="s">
        <v>48</v>
      </c>
    </row>
    <row r="12" spans="1:2" x14ac:dyDescent="0.25">
      <c r="A12" s="1"/>
      <c r="B12" s="1"/>
    </row>
    <row r="13" spans="1:2" x14ac:dyDescent="0.25">
      <c r="A13" s="2" t="s">
        <v>39</v>
      </c>
      <c r="B13" s="1"/>
    </row>
    <row r="14" spans="1:2" ht="30" x14ac:dyDescent="0.25">
      <c r="B14" s="6" t="s">
        <v>49</v>
      </c>
    </row>
    <row r="15" spans="1:2" ht="30" customHeight="1" x14ac:dyDescent="0.25">
      <c r="B15" t="s">
        <v>43</v>
      </c>
    </row>
    <row r="16" spans="1:2" ht="18.75" customHeight="1" x14ac:dyDescent="0.25"/>
    <row r="17" spans="1:2" x14ac:dyDescent="0.25">
      <c r="A17" s="9"/>
      <c r="B17" s="1" t="s">
        <v>51</v>
      </c>
    </row>
    <row r="18" spans="1:2" ht="30" x14ac:dyDescent="0.25">
      <c r="A18" s="9"/>
      <c r="B18" s="1" t="s">
        <v>50</v>
      </c>
    </row>
    <row r="19" spans="1:2" ht="30" x14ac:dyDescent="0.25">
      <c r="A19" s="9"/>
      <c r="B19" s="1" t="s">
        <v>45</v>
      </c>
    </row>
    <row r="21" spans="1:2" ht="60" x14ac:dyDescent="0.25">
      <c r="A21" s="7"/>
      <c r="B21" s="8" t="s">
        <v>44</v>
      </c>
    </row>
  </sheetData>
  <mergeCells count="1">
    <mergeCell ref="A17:A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D30F8-20D2-4B6B-9190-E28AA305FAAE}">
  <dimension ref="A3:I31"/>
  <sheetViews>
    <sheetView tabSelected="1" workbookViewId="0">
      <selection activeCell="C6" sqref="C6"/>
    </sheetView>
  </sheetViews>
  <sheetFormatPr defaultRowHeight="15" x14ac:dyDescent="0.25"/>
  <cols>
    <col min="1" max="1" width="20.7109375" bestFit="1" customWidth="1"/>
    <col min="2" max="2" width="16.28515625" bestFit="1" customWidth="1"/>
    <col min="3" max="3" width="17.28515625" bestFit="1" customWidth="1"/>
    <col min="4" max="5" width="12.7109375" bestFit="1" customWidth="1"/>
    <col min="6" max="6" width="17.85546875" bestFit="1" customWidth="1"/>
    <col min="7" max="8" width="15.5703125" bestFit="1" customWidth="1"/>
    <col min="9" max="9" width="13.85546875" bestFit="1" customWidth="1"/>
    <col min="10" max="10" width="17.85546875" bestFit="1" customWidth="1"/>
    <col min="11" max="11" width="11.5703125" bestFit="1" customWidth="1"/>
    <col min="12" max="12" width="17.28515625" bestFit="1" customWidth="1"/>
    <col min="13" max="13" width="15.5703125" bestFit="1" customWidth="1"/>
    <col min="14" max="14" width="11.85546875" bestFit="1" customWidth="1"/>
    <col min="15" max="15" width="15.5703125" bestFit="1" customWidth="1"/>
    <col min="16" max="16" width="12.7109375" bestFit="1" customWidth="1"/>
    <col min="17" max="17" width="20" bestFit="1" customWidth="1"/>
    <col min="18" max="18" width="22.5703125" bestFit="1" customWidth="1"/>
    <col min="19" max="19" width="11.5703125" bestFit="1" customWidth="1"/>
    <col min="20" max="20" width="17.28515625" bestFit="1" customWidth="1"/>
    <col min="21" max="21" width="15.5703125" bestFit="1" customWidth="1"/>
    <col min="22" max="22" width="11.85546875" bestFit="1" customWidth="1"/>
    <col min="23" max="23" width="15.5703125" bestFit="1" customWidth="1"/>
    <col min="24" max="24" width="12.7109375" bestFit="1" customWidth="1"/>
    <col min="25" max="25" width="25.85546875" bestFit="1" customWidth="1"/>
    <col min="26" max="26" width="17.85546875" bestFit="1" customWidth="1"/>
    <col min="27" max="27" width="11.5703125" bestFit="1" customWidth="1"/>
    <col min="28" max="28" width="17.28515625" bestFit="1" customWidth="1"/>
    <col min="29" max="29" width="15.5703125" bestFit="1" customWidth="1"/>
    <col min="30" max="30" width="11.85546875" bestFit="1" customWidth="1"/>
    <col min="31" max="31" width="15.5703125" bestFit="1" customWidth="1"/>
    <col min="32" max="32" width="12.7109375" bestFit="1" customWidth="1"/>
    <col min="33" max="33" width="20.140625" bestFit="1" customWidth="1"/>
    <col min="34" max="34" width="17.85546875" bestFit="1" customWidth="1"/>
    <col min="35" max="35" width="11.5703125" bestFit="1" customWidth="1"/>
    <col min="36" max="36" width="17.28515625" bestFit="1" customWidth="1"/>
    <col min="37" max="37" width="15.5703125" bestFit="1" customWidth="1"/>
    <col min="38" max="38" width="11.85546875" bestFit="1" customWidth="1"/>
    <col min="39" max="39" width="15.5703125" bestFit="1" customWidth="1"/>
    <col min="40" max="40" width="12.7109375" bestFit="1" customWidth="1"/>
    <col min="41" max="41" width="20.5703125" bestFit="1" customWidth="1"/>
    <col min="42" max="42" width="13.85546875" bestFit="1" customWidth="1"/>
  </cols>
  <sheetData>
    <row r="3" spans="1:9" x14ac:dyDescent="0.25">
      <c r="A3" s="10" t="s">
        <v>59</v>
      </c>
      <c r="B3" s="10" t="s">
        <v>60</v>
      </c>
    </row>
    <row r="4" spans="1:9" x14ac:dyDescent="0.25">
      <c r="A4" s="10" t="s">
        <v>57</v>
      </c>
      <c r="B4" t="s">
        <v>22</v>
      </c>
      <c r="C4" t="s">
        <v>25</v>
      </c>
      <c r="D4" t="s">
        <v>61</v>
      </c>
      <c r="E4" t="s">
        <v>23</v>
      </c>
      <c r="F4" t="s">
        <v>24</v>
      </c>
      <c r="G4" t="s">
        <v>26</v>
      </c>
      <c r="H4" t="s">
        <v>27</v>
      </c>
      <c r="I4" t="s">
        <v>58</v>
      </c>
    </row>
    <row r="5" spans="1:9" x14ac:dyDescent="0.25">
      <c r="A5" s="11" t="s">
        <v>17</v>
      </c>
      <c r="B5" s="12">
        <v>528959.75999999989</v>
      </c>
      <c r="C5" s="12">
        <v>614225.35</v>
      </c>
      <c r="D5" s="12">
        <v>166434.64000000001</v>
      </c>
      <c r="E5" s="12">
        <v>602616.77</v>
      </c>
      <c r="F5" s="12">
        <v>166863.79</v>
      </c>
      <c r="G5" s="12">
        <v>811897.22000000009</v>
      </c>
      <c r="H5" s="12">
        <v>128733.62000000002</v>
      </c>
      <c r="I5" s="12">
        <v>3019731.1500000004</v>
      </c>
    </row>
    <row r="6" spans="1:9" x14ac:dyDescent="0.25">
      <c r="A6" s="11" t="s">
        <v>19</v>
      </c>
      <c r="B6" s="12">
        <v>278167.05</v>
      </c>
      <c r="C6" s="12">
        <v>908052.3899999999</v>
      </c>
      <c r="D6" s="12">
        <v>817964.11</v>
      </c>
      <c r="E6" s="12">
        <v>592351.17999999993</v>
      </c>
      <c r="F6" s="12">
        <v>988.71</v>
      </c>
      <c r="G6" s="12">
        <v>1205.69</v>
      </c>
      <c r="H6" s="12">
        <v>6022.85</v>
      </c>
      <c r="I6" s="12">
        <v>2604751.98</v>
      </c>
    </row>
    <row r="7" spans="1:9" x14ac:dyDescent="0.25">
      <c r="A7" s="11" t="s">
        <v>15</v>
      </c>
      <c r="B7" s="12">
        <v>215370.30000000002</v>
      </c>
      <c r="C7" s="12">
        <v>753645.36</v>
      </c>
      <c r="D7" s="12">
        <v>898433.61</v>
      </c>
      <c r="E7" s="12">
        <v>345190.07999999996</v>
      </c>
      <c r="F7" s="12">
        <v>449.37</v>
      </c>
      <c r="G7" s="12">
        <v>157304.18000000002</v>
      </c>
      <c r="H7" s="12">
        <v>92171.64</v>
      </c>
      <c r="I7" s="12">
        <v>2462564.5399999996</v>
      </c>
    </row>
    <row r="8" spans="1:9" x14ac:dyDescent="0.25">
      <c r="A8" s="11" t="s">
        <v>18</v>
      </c>
      <c r="B8" s="12">
        <v>800693.90999999992</v>
      </c>
      <c r="C8" s="12">
        <v>158206.76999999999</v>
      </c>
      <c r="D8" s="12">
        <v>198177.59999999995</v>
      </c>
      <c r="E8" s="12">
        <v>20386.220000000005</v>
      </c>
      <c r="F8" s="12">
        <v>745331.27</v>
      </c>
      <c r="G8" s="12">
        <v>1385.9199999999998</v>
      </c>
      <c r="H8" s="12">
        <v>82297.23000000001</v>
      </c>
      <c r="I8" s="12">
        <v>2006478.9199999997</v>
      </c>
    </row>
    <row r="9" spans="1:9" x14ac:dyDescent="0.25">
      <c r="A9" s="11" t="s">
        <v>16</v>
      </c>
      <c r="B9" s="12">
        <v>813190.21</v>
      </c>
      <c r="C9" s="12">
        <v>17697.870000000006</v>
      </c>
      <c r="D9" s="12">
        <v>169579.84000000003</v>
      </c>
      <c r="E9" s="12">
        <v>111256.21</v>
      </c>
      <c r="F9" s="12">
        <v>478056.94</v>
      </c>
      <c r="G9" s="12">
        <v>171930.33000000002</v>
      </c>
      <c r="H9" s="12">
        <v>4269.9599999999991</v>
      </c>
      <c r="I9" s="12">
        <v>1765981.36</v>
      </c>
    </row>
    <row r="10" spans="1:9" x14ac:dyDescent="0.25">
      <c r="A10" s="11" t="s">
        <v>58</v>
      </c>
      <c r="B10" s="12">
        <v>2636381.2299999995</v>
      </c>
      <c r="C10" s="12">
        <v>2451827.7400000002</v>
      </c>
      <c r="D10" s="12">
        <v>2250589.7999999998</v>
      </c>
      <c r="E10" s="12">
        <v>1671800.46</v>
      </c>
      <c r="F10" s="12">
        <v>1391690.08</v>
      </c>
      <c r="G10" s="12">
        <v>1143723.3400000001</v>
      </c>
      <c r="H10" s="12">
        <v>313495.3</v>
      </c>
      <c r="I10" s="12">
        <v>11859507.949999999</v>
      </c>
    </row>
    <row r="14" spans="1:9" x14ac:dyDescent="0.25">
      <c r="A14" s="10" t="s">
        <v>57</v>
      </c>
      <c r="B14" t="s">
        <v>59</v>
      </c>
    </row>
    <row r="15" spans="1:9" x14ac:dyDescent="0.25">
      <c r="A15" s="11" t="s">
        <v>17</v>
      </c>
      <c r="B15" s="12">
        <v>3019731.1499999994</v>
      </c>
    </row>
    <row r="16" spans="1:9" x14ac:dyDescent="0.25">
      <c r="A16" s="11" t="s">
        <v>19</v>
      </c>
      <c r="B16" s="12">
        <v>2604751.9800000004</v>
      </c>
    </row>
    <row r="17" spans="1:2" x14ac:dyDescent="0.25">
      <c r="A17" s="11" t="s">
        <v>15</v>
      </c>
      <c r="B17" s="12">
        <v>2462564.5399999996</v>
      </c>
    </row>
    <row r="18" spans="1:2" x14ac:dyDescent="0.25">
      <c r="A18" s="11" t="s">
        <v>18</v>
      </c>
      <c r="B18" s="12">
        <v>2006478.9199999995</v>
      </c>
    </row>
    <row r="19" spans="1:2" x14ac:dyDescent="0.25">
      <c r="A19" s="11" t="s">
        <v>16</v>
      </c>
      <c r="B19" s="12">
        <v>1765981.3599999996</v>
      </c>
    </row>
    <row r="20" spans="1:2" x14ac:dyDescent="0.25">
      <c r="A20" s="11" t="s">
        <v>58</v>
      </c>
      <c r="B20" s="12">
        <v>11859507.949999999</v>
      </c>
    </row>
    <row r="23" spans="1:2" x14ac:dyDescent="0.25">
      <c r="A23" s="10" t="s">
        <v>57</v>
      </c>
      <c r="B23" t="s">
        <v>59</v>
      </c>
    </row>
    <row r="24" spans="1:2" x14ac:dyDescent="0.25">
      <c r="A24" s="11" t="s">
        <v>22</v>
      </c>
      <c r="B24" s="12">
        <v>2636381.2300000004</v>
      </c>
    </row>
    <row r="25" spans="1:2" x14ac:dyDescent="0.25">
      <c r="A25" s="11" t="s">
        <v>25</v>
      </c>
      <c r="B25" s="12">
        <v>2451827.7400000007</v>
      </c>
    </row>
    <row r="26" spans="1:2" x14ac:dyDescent="0.25">
      <c r="A26" s="11" t="s">
        <v>61</v>
      </c>
      <c r="B26" s="12">
        <v>2250589.7999999998</v>
      </c>
    </row>
    <row r="27" spans="1:2" x14ac:dyDescent="0.25">
      <c r="A27" s="11" t="s">
        <v>23</v>
      </c>
      <c r="B27" s="12">
        <v>1671800.4599999995</v>
      </c>
    </row>
    <row r="28" spans="1:2" x14ac:dyDescent="0.25">
      <c r="A28" s="11" t="s">
        <v>24</v>
      </c>
      <c r="B28" s="12">
        <v>1391690.0800000003</v>
      </c>
    </row>
    <row r="29" spans="1:2" x14ac:dyDescent="0.25">
      <c r="A29" s="11" t="s">
        <v>26</v>
      </c>
      <c r="B29" s="12">
        <v>1143723.3399999999</v>
      </c>
    </row>
    <row r="30" spans="1:2" x14ac:dyDescent="0.25">
      <c r="A30" s="11" t="s">
        <v>27</v>
      </c>
      <c r="B30" s="12">
        <v>313495.30000000005</v>
      </c>
    </row>
    <row r="31" spans="1:2" x14ac:dyDescent="0.25">
      <c r="A31" s="11" t="s">
        <v>58</v>
      </c>
      <c r="B31" s="12">
        <v>11859507.949999999</v>
      </c>
    </row>
  </sheetData>
  <conditionalFormatting pivot="1" sqref="B5:H9">
    <cfRule type="colorScale" priority="1">
      <colorScale>
        <cfvo type="min"/>
        <cfvo type="max"/>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3BBB3-AD39-478C-81CB-C9273D8E2C78}">
  <sheetPr>
    <tabColor rgb="FF00B050"/>
  </sheetPr>
  <dimension ref="A1:I701"/>
  <sheetViews>
    <sheetView showGridLines="0" workbookViewId="0"/>
  </sheetViews>
  <sheetFormatPr defaultRowHeight="15" x14ac:dyDescent="0.25"/>
  <cols>
    <col min="1" max="2" width="16" bestFit="1" customWidth="1"/>
    <col min="3" max="3" width="7.28515625" bestFit="1" customWidth="1"/>
    <col min="4" max="4" width="13" bestFit="1" customWidth="1"/>
    <col min="5" max="5" width="20.7109375" bestFit="1" customWidth="1"/>
    <col min="6" max="6" width="11.140625" bestFit="1" customWidth="1"/>
    <col min="7" max="7" width="17.85546875" bestFit="1" customWidth="1"/>
    <col min="8" max="8" width="10" bestFit="1" customWidth="1"/>
    <col min="9" max="9" width="12.7109375" bestFit="1" customWidth="1"/>
    <col min="11" max="11" width="16" bestFit="1" customWidth="1"/>
    <col min="12" max="12" width="13.140625" bestFit="1" customWidth="1"/>
    <col min="13" max="13" width="16.42578125" bestFit="1" customWidth="1"/>
    <col min="14" max="19" width="12" bestFit="1" customWidth="1"/>
    <col min="20" max="20" width="11.42578125" bestFit="1" customWidth="1"/>
    <col min="21" max="21" width="10" bestFit="1" customWidth="1"/>
    <col min="22" max="22" width="12" bestFit="1" customWidth="1"/>
  </cols>
  <sheetData>
    <row r="1" spans="1:9" x14ac:dyDescent="0.25">
      <c r="A1" t="s">
        <v>40</v>
      </c>
      <c r="B1" t="s">
        <v>54</v>
      </c>
      <c r="C1" t="s">
        <v>4</v>
      </c>
      <c r="D1" t="s">
        <v>1</v>
      </c>
      <c r="E1" t="s">
        <v>55</v>
      </c>
      <c r="F1" t="s">
        <v>0</v>
      </c>
      <c r="G1" t="s">
        <v>56</v>
      </c>
      <c r="H1" t="s">
        <v>5</v>
      </c>
      <c r="I1" t="s">
        <v>6</v>
      </c>
    </row>
    <row r="2" spans="1:9" x14ac:dyDescent="0.25">
      <c r="A2" t="s">
        <v>2</v>
      </c>
      <c r="B2" t="str">
        <f>VLOOKUP(Simulated_Dept_Data[[#This Row],[DepartmentID]],Table578[],2,FALSE)</f>
        <v>Shirts</v>
      </c>
      <c r="C2">
        <v>2022</v>
      </c>
      <c r="D2">
        <v>1</v>
      </c>
      <c r="E2" t="str">
        <f>VLOOKUP(Simulated_Dept_Data[[#This Row],[SegmentID]],Table5[],2,FALSE)</f>
        <v>Elite Customers</v>
      </c>
      <c r="G2" t="str">
        <f>IFERROR(VLOOKUP(Simulated_Dept_Data[[#This Row],[ProfileID]],Table57[],2,FALSE),"NO PROFILE")</f>
        <v>NO PROFILE</v>
      </c>
      <c r="H2">
        <v>1989.77</v>
      </c>
      <c r="I2">
        <v>347</v>
      </c>
    </row>
    <row r="3" spans="1:9" x14ac:dyDescent="0.25">
      <c r="A3" t="s">
        <v>2</v>
      </c>
      <c r="B3" t="str">
        <f>VLOOKUP(Simulated_Dept_Data[[#This Row],[DepartmentID]],Table578[],2,FALSE)</f>
        <v>Shirts</v>
      </c>
      <c r="C3">
        <v>2022</v>
      </c>
      <c r="D3">
        <v>1</v>
      </c>
      <c r="E3" t="str">
        <f>VLOOKUP(Simulated_Dept_Data[[#This Row],[SegmentID]],Table5[],2,FALSE)</f>
        <v>Elite Customers</v>
      </c>
      <c r="F3">
        <v>1</v>
      </c>
      <c r="G3" t="str">
        <f>IFERROR(VLOOKUP(Simulated_Dept_Data[[#This Row],[ProfileID]],Table57[],2,FALSE),"NO PROFILE")</f>
        <v>City Slickers</v>
      </c>
      <c r="H3">
        <v>6270.3</v>
      </c>
      <c r="I3">
        <v>616</v>
      </c>
    </row>
    <row r="4" spans="1:9" x14ac:dyDescent="0.25">
      <c r="A4" t="s">
        <v>2</v>
      </c>
      <c r="B4" t="str">
        <f>VLOOKUP(Simulated_Dept_Data[[#This Row],[DepartmentID]],Table578[],2,FALSE)</f>
        <v>Shirts</v>
      </c>
      <c r="C4">
        <v>2022</v>
      </c>
      <c r="D4">
        <v>1</v>
      </c>
      <c r="E4" t="str">
        <f>VLOOKUP(Simulated_Dept_Data[[#This Row],[SegmentID]],Table5[],2,FALSE)</f>
        <v>Elite Customers</v>
      </c>
      <c r="F4">
        <v>2</v>
      </c>
      <c r="G4" t="str">
        <f>IFERROR(VLOOKUP(Simulated_Dept_Data[[#This Row],[ProfileID]],Table57[],2,FALSE),"NO PROFILE")</f>
        <v>Rich &amp; Richer</v>
      </c>
      <c r="H4">
        <v>7131.06</v>
      </c>
      <c r="I4">
        <v>657</v>
      </c>
    </row>
    <row r="5" spans="1:9" x14ac:dyDescent="0.25">
      <c r="A5" t="s">
        <v>2</v>
      </c>
      <c r="B5" t="str">
        <f>VLOOKUP(Simulated_Dept_Data[[#This Row],[DepartmentID]],Table578[],2,FALSE)</f>
        <v>Shirts</v>
      </c>
      <c r="C5">
        <v>2022</v>
      </c>
      <c r="D5">
        <v>1</v>
      </c>
      <c r="E5" t="str">
        <f>VLOOKUP(Simulated_Dept_Data[[#This Row],[SegmentID]],Table5[],2,FALSE)</f>
        <v>Elite Customers</v>
      </c>
      <c r="F5">
        <v>3</v>
      </c>
      <c r="G5" t="str">
        <f>IFERROR(VLOOKUP(Simulated_Dept_Data[[#This Row],[ProfileID]],Table57[],2,FALSE),"NO PROFILE")</f>
        <v>Mr. &amp; Mrs. Smiths</v>
      </c>
      <c r="H5">
        <v>7293.91</v>
      </c>
      <c r="I5">
        <v>665</v>
      </c>
    </row>
    <row r="6" spans="1:9" x14ac:dyDescent="0.25">
      <c r="A6" t="s">
        <v>2</v>
      </c>
      <c r="B6" t="str">
        <f>VLOOKUP(Simulated_Dept_Data[[#This Row],[DepartmentID]],Table578[],2,FALSE)</f>
        <v>Shirts</v>
      </c>
      <c r="C6">
        <v>2022</v>
      </c>
      <c r="D6">
        <v>1</v>
      </c>
      <c r="E6" t="str">
        <f>VLOOKUP(Simulated_Dept_Data[[#This Row],[SegmentID]],Table5[],2,FALSE)</f>
        <v>Elite Customers</v>
      </c>
      <c r="F6">
        <v>4</v>
      </c>
      <c r="G6" t="str">
        <f>IFERROR(VLOOKUP(Simulated_Dept_Data[[#This Row],[ProfileID]],Table57[],2,FALSE),"NO PROFILE")</f>
        <v>Blue Collar Royalty</v>
      </c>
      <c r="H6">
        <v>1995.79</v>
      </c>
      <c r="I6">
        <v>348</v>
      </c>
    </row>
    <row r="7" spans="1:9" x14ac:dyDescent="0.25">
      <c r="A7" t="s">
        <v>2</v>
      </c>
      <c r="B7" t="str">
        <f>VLOOKUP(Simulated_Dept_Data[[#This Row],[DepartmentID]],Table578[],2,FALSE)</f>
        <v>Shirts</v>
      </c>
      <c r="C7">
        <v>2022</v>
      </c>
      <c r="D7">
        <v>1</v>
      </c>
      <c r="E7" t="str">
        <f>VLOOKUP(Simulated_Dept_Data[[#This Row],[SegmentID]],Table5[],2,FALSE)</f>
        <v>Elite Customers</v>
      </c>
      <c r="F7">
        <v>5</v>
      </c>
      <c r="G7" t="str">
        <f>IFERROR(VLOOKUP(Simulated_Dept_Data[[#This Row],[ProfileID]],Table57[],2,FALSE),"NO PROFILE")</f>
        <v>Pinched Pockets</v>
      </c>
      <c r="H7">
        <v>9664.3799999999992</v>
      </c>
      <c r="I7">
        <v>765</v>
      </c>
    </row>
    <row r="8" spans="1:9" x14ac:dyDescent="0.25">
      <c r="A8" t="s">
        <v>2</v>
      </c>
      <c r="B8" t="str">
        <f>VLOOKUP(Simulated_Dept_Data[[#This Row],[DepartmentID]],Table578[],2,FALSE)</f>
        <v>Shirts</v>
      </c>
      <c r="C8">
        <v>2022</v>
      </c>
      <c r="D8">
        <v>1</v>
      </c>
      <c r="E8" t="str">
        <f>VLOOKUP(Simulated_Dept_Data[[#This Row],[SegmentID]],Table5[],2,FALSE)</f>
        <v>Elite Customers</v>
      </c>
      <c r="F8">
        <v>6</v>
      </c>
      <c r="G8" t="str">
        <f>IFERROR(VLOOKUP(Simulated_Dept_Data[[#This Row],[ProfileID]],Table57[],2,FALSE),"NO PROFILE")</f>
        <v>Normal Families</v>
      </c>
      <c r="H8">
        <v>1518.38</v>
      </c>
      <c r="I8">
        <v>303</v>
      </c>
    </row>
    <row r="9" spans="1:9" x14ac:dyDescent="0.25">
      <c r="A9" t="s">
        <v>2</v>
      </c>
      <c r="B9" t="str">
        <f>VLOOKUP(Simulated_Dept_Data[[#This Row],[DepartmentID]],Table578[],2,FALSE)</f>
        <v>Shirts</v>
      </c>
      <c r="C9">
        <v>2022</v>
      </c>
      <c r="D9">
        <v>2</v>
      </c>
      <c r="E9" t="str">
        <f>VLOOKUP(Simulated_Dept_Data[[#This Row],[SegmentID]],Table5[],2,FALSE)</f>
        <v>Core Customers</v>
      </c>
      <c r="G9" t="str">
        <f>IFERROR(VLOOKUP(Simulated_Dept_Data[[#This Row],[ProfileID]],Table57[],2,FALSE),"NO PROFILE")</f>
        <v>NO PROFILE</v>
      </c>
      <c r="H9">
        <v>12049.16</v>
      </c>
      <c r="I9">
        <v>829</v>
      </c>
    </row>
    <row r="10" spans="1:9" x14ac:dyDescent="0.25">
      <c r="A10" t="s">
        <v>2</v>
      </c>
      <c r="B10" t="str">
        <f>VLOOKUP(Simulated_Dept_Data[[#This Row],[DepartmentID]],Table578[],2,FALSE)</f>
        <v>Shirts</v>
      </c>
      <c r="C10">
        <v>2022</v>
      </c>
      <c r="D10">
        <v>2</v>
      </c>
      <c r="E10" t="str">
        <f>VLOOKUP(Simulated_Dept_Data[[#This Row],[SegmentID]],Table5[],2,FALSE)</f>
        <v>Core Customers</v>
      </c>
      <c r="F10">
        <v>1</v>
      </c>
      <c r="G10" t="str">
        <f>IFERROR(VLOOKUP(Simulated_Dept_Data[[#This Row],[ProfileID]],Table57[],2,FALSE),"NO PROFILE")</f>
        <v>City Slickers</v>
      </c>
      <c r="H10">
        <v>2882.61</v>
      </c>
      <c r="I10">
        <v>405</v>
      </c>
    </row>
    <row r="11" spans="1:9" x14ac:dyDescent="0.25">
      <c r="A11" t="s">
        <v>2</v>
      </c>
      <c r="B11" t="str">
        <f>VLOOKUP(Simulated_Dept_Data[[#This Row],[DepartmentID]],Table578[],2,FALSE)</f>
        <v>Shirts</v>
      </c>
      <c r="C11">
        <v>2022</v>
      </c>
      <c r="D11">
        <v>2</v>
      </c>
      <c r="E11" t="str">
        <f>VLOOKUP(Simulated_Dept_Data[[#This Row],[SegmentID]],Table5[],2,FALSE)</f>
        <v>Core Customers</v>
      </c>
      <c r="F11">
        <v>2</v>
      </c>
      <c r="G11" t="str">
        <f>IFERROR(VLOOKUP(Simulated_Dept_Data[[#This Row],[ProfileID]],Table57[],2,FALSE),"NO PROFILE")</f>
        <v>Rich &amp; Richer</v>
      </c>
      <c r="H11">
        <v>4608.67</v>
      </c>
      <c r="I11">
        <v>513</v>
      </c>
    </row>
    <row r="12" spans="1:9" x14ac:dyDescent="0.25">
      <c r="A12" t="s">
        <v>2</v>
      </c>
      <c r="B12" t="str">
        <f>VLOOKUP(Simulated_Dept_Data[[#This Row],[DepartmentID]],Table578[],2,FALSE)</f>
        <v>Shirts</v>
      </c>
      <c r="C12">
        <v>2022</v>
      </c>
      <c r="D12">
        <v>2</v>
      </c>
      <c r="E12" t="str">
        <f>VLOOKUP(Simulated_Dept_Data[[#This Row],[SegmentID]],Table5[],2,FALSE)</f>
        <v>Core Customers</v>
      </c>
      <c r="F12">
        <v>3</v>
      </c>
      <c r="G12" t="str">
        <f>IFERROR(VLOOKUP(Simulated_Dept_Data[[#This Row],[ProfileID]],Table57[],2,FALSE),"NO PROFILE")</f>
        <v>Mr. &amp; Mrs. Smiths</v>
      </c>
      <c r="H12">
        <v>10086.77</v>
      </c>
      <c r="I12">
        <v>758</v>
      </c>
    </row>
    <row r="13" spans="1:9" x14ac:dyDescent="0.25">
      <c r="A13" t="s">
        <v>2</v>
      </c>
      <c r="B13" t="str">
        <f>VLOOKUP(Simulated_Dept_Data[[#This Row],[DepartmentID]],Table578[],2,FALSE)</f>
        <v>Shirts</v>
      </c>
      <c r="C13">
        <v>2022</v>
      </c>
      <c r="D13">
        <v>2</v>
      </c>
      <c r="E13" t="str">
        <f>VLOOKUP(Simulated_Dept_Data[[#This Row],[SegmentID]],Table5[],2,FALSE)</f>
        <v>Core Customers</v>
      </c>
      <c r="F13">
        <v>4</v>
      </c>
      <c r="G13" t="str">
        <f>IFERROR(VLOOKUP(Simulated_Dept_Data[[#This Row],[ProfileID]],Table57[],2,FALSE),"NO PROFILE")</f>
        <v>Blue Collar Royalty</v>
      </c>
      <c r="H13">
        <v>7.09</v>
      </c>
      <c r="I13">
        <v>20</v>
      </c>
    </row>
    <row r="14" spans="1:9" x14ac:dyDescent="0.25">
      <c r="A14" t="s">
        <v>2</v>
      </c>
      <c r="B14" t="str">
        <f>VLOOKUP(Simulated_Dept_Data[[#This Row],[DepartmentID]],Table578[],2,FALSE)</f>
        <v>Shirts</v>
      </c>
      <c r="C14">
        <v>2022</v>
      </c>
      <c r="D14">
        <v>2</v>
      </c>
      <c r="E14" t="str">
        <f>VLOOKUP(Simulated_Dept_Data[[#This Row],[SegmentID]],Table5[],2,FALSE)</f>
        <v>Core Customers</v>
      </c>
      <c r="F14">
        <v>5</v>
      </c>
      <c r="G14" t="str">
        <f>IFERROR(VLOOKUP(Simulated_Dept_Data[[#This Row],[ProfileID]],Table57[],2,FALSE),"NO PROFILE")</f>
        <v>Pinched Pockets</v>
      </c>
      <c r="H14">
        <v>2095.27</v>
      </c>
      <c r="I14">
        <v>346</v>
      </c>
    </row>
    <row r="15" spans="1:9" x14ac:dyDescent="0.25">
      <c r="A15" t="s">
        <v>2</v>
      </c>
      <c r="B15" t="str">
        <f>VLOOKUP(Simulated_Dept_Data[[#This Row],[DepartmentID]],Table578[],2,FALSE)</f>
        <v>Shirts</v>
      </c>
      <c r="C15">
        <v>2022</v>
      </c>
      <c r="D15">
        <v>2</v>
      </c>
      <c r="E15" t="str">
        <f>VLOOKUP(Simulated_Dept_Data[[#This Row],[SegmentID]],Table5[],2,FALSE)</f>
        <v>Core Customers</v>
      </c>
      <c r="F15">
        <v>6</v>
      </c>
      <c r="G15" t="str">
        <f>IFERROR(VLOOKUP(Simulated_Dept_Data[[#This Row],[ProfileID]],Table57[],2,FALSE),"NO PROFILE")</f>
        <v>Normal Families</v>
      </c>
      <c r="H15">
        <v>1261.0999999999999</v>
      </c>
      <c r="I15">
        <v>268</v>
      </c>
    </row>
    <row r="16" spans="1:9" x14ac:dyDescent="0.25">
      <c r="A16" t="s">
        <v>2</v>
      </c>
      <c r="B16" t="str">
        <f>VLOOKUP(Simulated_Dept_Data[[#This Row],[DepartmentID]],Table578[],2,FALSE)</f>
        <v>Shirts</v>
      </c>
      <c r="C16">
        <v>2022</v>
      </c>
      <c r="D16">
        <v>3</v>
      </c>
      <c r="E16" t="str">
        <f>VLOOKUP(Simulated_Dept_Data[[#This Row],[SegmentID]],Table5[],2,FALSE)</f>
        <v>Power Shoppers</v>
      </c>
      <c r="G16" t="str">
        <f>IFERROR(VLOOKUP(Simulated_Dept_Data[[#This Row],[ProfileID]],Table57[],2,FALSE),"NO PROFILE")</f>
        <v>NO PROFILE</v>
      </c>
      <c r="H16">
        <v>2559.19</v>
      </c>
      <c r="I16">
        <v>376</v>
      </c>
    </row>
    <row r="17" spans="1:9" x14ac:dyDescent="0.25">
      <c r="A17" t="s">
        <v>2</v>
      </c>
      <c r="B17" t="str">
        <f>VLOOKUP(Simulated_Dept_Data[[#This Row],[DepartmentID]],Table578[],2,FALSE)</f>
        <v>Shirts</v>
      </c>
      <c r="C17">
        <v>2022</v>
      </c>
      <c r="D17">
        <v>3</v>
      </c>
      <c r="E17" t="str">
        <f>VLOOKUP(Simulated_Dept_Data[[#This Row],[SegmentID]],Table5[],2,FALSE)</f>
        <v>Power Shoppers</v>
      </c>
      <c r="F17">
        <v>1</v>
      </c>
      <c r="G17" t="str">
        <f>IFERROR(VLOOKUP(Simulated_Dept_Data[[#This Row],[ProfileID]],Table57[],2,FALSE),"NO PROFILE")</f>
        <v>City Slickers</v>
      </c>
      <c r="H17">
        <v>12255.65</v>
      </c>
      <c r="I17">
        <v>822</v>
      </c>
    </row>
    <row r="18" spans="1:9" x14ac:dyDescent="0.25">
      <c r="A18" t="s">
        <v>2</v>
      </c>
      <c r="B18" t="str">
        <f>VLOOKUP(Simulated_Dept_Data[[#This Row],[DepartmentID]],Table578[],2,FALSE)</f>
        <v>Shirts</v>
      </c>
      <c r="C18">
        <v>2022</v>
      </c>
      <c r="D18">
        <v>3</v>
      </c>
      <c r="E18" t="str">
        <f>VLOOKUP(Simulated_Dept_Data[[#This Row],[SegmentID]],Table5[],2,FALSE)</f>
        <v>Power Shoppers</v>
      </c>
      <c r="F18">
        <v>2</v>
      </c>
      <c r="G18" t="str">
        <f>IFERROR(VLOOKUP(Simulated_Dept_Data[[#This Row],[ProfileID]],Table57[],2,FALSE),"NO PROFILE")</f>
        <v>Rich &amp; Richer</v>
      </c>
      <c r="H18">
        <v>1674.41</v>
      </c>
      <c r="I18">
        <v>304</v>
      </c>
    </row>
    <row r="19" spans="1:9" x14ac:dyDescent="0.25">
      <c r="A19" t="s">
        <v>2</v>
      </c>
      <c r="B19" t="str">
        <f>VLOOKUP(Simulated_Dept_Data[[#This Row],[DepartmentID]],Table578[],2,FALSE)</f>
        <v>Shirts</v>
      </c>
      <c r="C19">
        <v>2022</v>
      </c>
      <c r="D19">
        <v>3</v>
      </c>
      <c r="E19" t="str">
        <f>VLOOKUP(Simulated_Dept_Data[[#This Row],[SegmentID]],Table5[],2,FALSE)</f>
        <v>Power Shoppers</v>
      </c>
      <c r="F19">
        <v>3</v>
      </c>
      <c r="G19" t="str">
        <f>IFERROR(VLOOKUP(Simulated_Dept_Data[[#This Row],[ProfileID]],Table57[],2,FALSE),"NO PROFILE")</f>
        <v>Mr. &amp; Mrs. Smiths</v>
      </c>
      <c r="H19">
        <v>240.03</v>
      </c>
      <c r="I19">
        <v>115</v>
      </c>
    </row>
    <row r="20" spans="1:9" x14ac:dyDescent="0.25">
      <c r="A20" t="s">
        <v>2</v>
      </c>
      <c r="B20" t="str">
        <f>VLOOKUP(Simulated_Dept_Data[[#This Row],[DepartmentID]],Table578[],2,FALSE)</f>
        <v>Shirts</v>
      </c>
      <c r="C20">
        <v>2022</v>
      </c>
      <c r="D20">
        <v>3</v>
      </c>
      <c r="E20" t="str">
        <f>VLOOKUP(Simulated_Dept_Data[[#This Row],[SegmentID]],Table5[],2,FALSE)</f>
        <v>Power Shoppers</v>
      </c>
      <c r="F20">
        <v>4</v>
      </c>
      <c r="G20" t="str">
        <f>IFERROR(VLOOKUP(Simulated_Dept_Data[[#This Row],[ProfileID]],Table57[],2,FALSE),"NO PROFILE")</f>
        <v>Blue Collar Royalty</v>
      </c>
      <c r="H20">
        <v>7208.34</v>
      </c>
      <c r="I20">
        <v>630</v>
      </c>
    </row>
    <row r="21" spans="1:9" x14ac:dyDescent="0.25">
      <c r="A21" t="s">
        <v>2</v>
      </c>
      <c r="B21" t="str">
        <f>VLOOKUP(Simulated_Dept_Data[[#This Row],[DepartmentID]],Table578[],2,FALSE)</f>
        <v>Shirts</v>
      </c>
      <c r="C21">
        <v>2022</v>
      </c>
      <c r="D21">
        <v>3</v>
      </c>
      <c r="E21" t="str">
        <f>VLOOKUP(Simulated_Dept_Data[[#This Row],[SegmentID]],Table5[],2,FALSE)</f>
        <v>Power Shoppers</v>
      </c>
      <c r="F21">
        <v>5</v>
      </c>
      <c r="G21" t="str">
        <f>IFERROR(VLOOKUP(Simulated_Dept_Data[[#This Row],[ProfileID]],Table57[],2,FALSE),"NO PROFILE")</f>
        <v>Pinched Pockets</v>
      </c>
      <c r="H21">
        <v>2600.6799999999998</v>
      </c>
      <c r="I21">
        <v>379</v>
      </c>
    </row>
    <row r="22" spans="1:9" x14ac:dyDescent="0.25">
      <c r="A22" t="s">
        <v>2</v>
      </c>
      <c r="B22" t="str">
        <f>VLOOKUP(Simulated_Dept_Data[[#This Row],[DepartmentID]],Table578[],2,FALSE)</f>
        <v>Shirts</v>
      </c>
      <c r="C22">
        <v>2022</v>
      </c>
      <c r="D22">
        <v>3</v>
      </c>
      <c r="E22" t="str">
        <f>VLOOKUP(Simulated_Dept_Data[[#This Row],[SegmentID]],Table5[],2,FALSE)</f>
        <v>Power Shoppers</v>
      </c>
      <c r="F22">
        <v>6</v>
      </c>
      <c r="G22" t="str">
        <f>IFERROR(VLOOKUP(Simulated_Dept_Data[[#This Row],[ProfileID]],Table57[],2,FALSE),"NO PROFILE")</f>
        <v>Normal Families</v>
      </c>
      <c r="H22">
        <v>75.37</v>
      </c>
      <c r="I22">
        <v>64</v>
      </c>
    </row>
    <row r="23" spans="1:9" x14ac:dyDescent="0.25">
      <c r="A23" t="s">
        <v>2</v>
      </c>
      <c r="B23" t="str">
        <f>VLOOKUP(Simulated_Dept_Data[[#This Row],[DepartmentID]],Table578[],2,FALSE)</f>
        <v>Shirts</v>
      </c>
      <c r="C23">
        <v>2022</v>
      </c>
      <c r="D23">
        <v>4</v>
      </c>
      <c r="E23" t="str">
        <f>VLOOKUP(Simulated_Dept_Data[[#This Row],[SegmentID]],Table5[],2,FALSE)</f>
        <v>Infrequent Customers</v>
      </c>
      <c r="G23" t="str">
        <f>IFERROR(VLOOKUP(Simulated_Dept_Data[[#This Row],[ProfileID]],Table57[],2,FALSE),"NO PROFILE")</f>
        <v>NO PROFILE</v>
      </c>
      <c r="H23">
        <v>2456.7399999999998</v>
      </c>
      <c r="I23">
        <v>369</v>
      </c>
    </row>
    <row r="24" spans="1:9" x14ac:dyDescent="0.25">
      <c r="A24" t="s">
        <v>2</v>
      </c>
      <c r="B24" t="str">
        <f>VLOOKUP(Simulated_Dept_Data[[#This Row],[DepartmentID]],Table578[],2,FALSE)</f>
        <v>Shirts</v>
      </c>
      <c r="C24">
        <v>2022</v>
      </c>
      <c r="D24">
        <v>4</v>
      </c>
      <c r="E24" t="str">
        <f>VLOOKUP(Simulated_Dept_Data[[#This Row],[SegmentID]],Table5[],2,FALSE)</f>
        <v>Infrequent Customers</v>
      </c>
      <c r="F24">
        <v>1</v>
      </c>
      <c r="G24" t="str">
        <f>IFERROR(VLOOKUP(Simulated_Dept_Data[[#This Row],[ProfileID]],Table57[],2,FALSE),"NO PROFILE")</f>
        <v>City Slickers</v>
      </c>
      <c r="H24">
        <v>9881.91</v>
      </c>
      <c r="I24">
        <v>739</v>
      </c>
    </row>
    <row r="25" spans="1:9" x14ac:dyDescent="0.25">
      <c r="A25" t="s">
        <v>2</v>
      </c>
      <c r="B25" t="str">
        <f>VLOOKUP(Simulated_Dept_Data[[#This Row],[DepartmentID]],Table578[],2,FALSE)</f>
        <v>Shirts</v>
      </c>
      <c r="C25">
        <v>2022</v>
      </c>
      <c r="D25">
        <v>4</v>
      </c>
      <c r="E25" t="str">
        <f>VLOOKUP(Simulated_Dept_Data[[#This Row],[SegmentID]],Table5[],2,FALSE)</f>
        <v>Infrequent Customers</v>
      </c>
      <c r="F25">
        <v>2</v>
      </c>
      <c r="G25" t="str">
        <f>IFERROR(VLOOKUP(Simulated_Dept_Data[[#This Row],[ProfileID]],Table57[],2,FALSE),"NO PROFILE")</f>
        <v>Rich &amp; Richer</v>
      </c>
      <c r="H25">
        <v>230.51</v>
      </c>
      <c r="I25">
        <v>113</v>
      </c>
    </row>
    <row r="26" spans="1:9" x14ac:dyDescent="0.25">
      <c r="A26" t="s">
        <v>2</v>
      </c>
      <c r="B26" t="str">
        <f>VLOOKUP(Simulated_Dept_Data[[#This Row],[DepartmentID]],Table578[],2,FALSE)</f>
        <v>Shirts</v>
      </c>
      <c r="C26">
        <v>2022</v>
      </c>
      <c r="D26">
        <v>4</v>
      </c>
      <c r="E26" t="str">
        <f>VLOOKUP(Simulated_Dept_Data[[#This Row],[SegmentID]],Table5[],2,FALSE)</f>
        <v>Infrequent Customers</v>
      </c>
      <c r="F26">
        <v>3</v>
      </c>
      <c r="G26" t="str">
        <f>IFERROR(VLOOKUP(Simulated_Dept_Data[[#This Row],[ProfileID]],Table57[],2,FALSE),"NO PROFILE")</f>
        <v>Mr. &amp; Mrs. Smiths</v>
      </c>
      <c r="H26">
        <v>1949.04</v>
      </c>
      <c r="I26">
        <v>328</v>
      </c>
    </row>
    <row r="27" spans="1:9" x14ac:dyDescent="0.25">
      <c r="A27" t="s">
        <v>2</v>
      </c>
      <c r="B27" t="str">
        <f>VLOOKUP(Simulated_Dept_Data[[#This Row],[DepartmentID]],Table578[],2,FALSE)</f>
        <v>Shirts</v>
      </c>
      <c r="C27">
        <v>2022</v>
      </c>
      <c r="D27">
        <v>4</v>
      </c>
      <c r="E27" t="str">
        <f>VLOOKUP(Simulated_Dept_Data[[#This Row],[SegmentID]],Table5[],2,FALSE)</f>
        <v>Infrequent Customers</v>
      </c>
      <c r="F27">
        <v>4</v>
      </c>
      <c r="G27" t="str">
        <f>IFERROR(VLOOKUP(Simulated_Dept_Data[[#This Row],[ProfileID]],Table57[],2,FALSE),"NO PROFILE")</f>
        <v>Blue Collar Royalty</v>
      </c>
      <c r="H27">
        <v>9214.39</v>
      </c>
      <c r="I27">
        <v>714</v>
      </c>
    </row>
    <row r="28" spans="1:9" x14ac:dyDescent="0.25">
      <c r="A28" t="s">
        <v>2</v>
      </c>
      <c r="B28" t="str">
        <f>VLOOKUP(Simulated_Dept_Data[[#This Row],[DepartmentID]],Table578[],2,FALSE)</f>
        <v>Shirts</v>
      </c>
      <c r="C28">
        <v>2022</v>
      </c>
      <c r="D28">
        <v>4</v>
      </c>
      <c r="E28" t="str">
        <f>VLOOKUP(Simulated_Dept_Data[[#This Row],[SegmentID]],Table5[],2,FALSE)</f>
        <v>Infrequent Customers</v>
      </c>
      <c r="F28">
        <v>5</v>
      </c>
      <c r="G28" t="str">
        <f>IFERROR(VLOOKUP(Simulated_Dept_Data[[#This Row],[ProfileID]],Table57[],2,FALSE),"NO PROFILE")</f>
        <v>Pinched Pockets</v>
      </c>
      <c r="H28">
        <v>19.62</v>
      </c>
      <c r="I28">
        <v>33</v>
      </c>
    </row>
    <row r="29" spans="1:9" x14ac:dyDescent="0.25">
      <c r="A29" t="s">
        <v>2</v>
      </c>
      <c r="B29" t="str">
        <f>VLOOKUP(Simulated_Dept_Data[[#This Row],[DepartmentID]],Table578[],2,FALSE)</f>
        <v>Shirts</v>
      </c>
      <c r="C29">
        <v>2022</v>
      </c>
      <c r="D29">
        <v>4</v>
      </c>
      <c r="E29" t="str">
        <f>VLOOKUP(Simulated_Dept_Data[[#This Row],[SegmentID]],Table5[],2,FALSE)</f>
        <v>Infrequent Customers</v>
      </c>
      <c r="F29">
        <v>6</v>
      </c>
      <c r="G29" t="str">
        <f>IFERROR(VLOOKUP(Simulated_Dept_Data[[#This Row],[ProfileID]],Table57[],2,FALSE),"NO PROFILE")</f>
        <v>Normal Families</v>
      </c>
      <c r="H29">
        <v>990.71</v>
      </c>
      <c r="I29">
        <v>234</v>
      </c>
    </row>
    <row r="30" spans="1:9" x14ac:dyDescent="0.25">
      <c r="A30" t="s">
        <v>2</v>
      </c>
      <c r="B30" t="str">
        <f>VLOOKUP(Simulated_Dept_Data[[#This Row],[DepartmentID]],Table578[],2,FALSE)</f>
        <v>Shirts</v>
      </c>
      <c r="C30">
        <v>2022</v>
      </c>
      <c r="D30">
        <v>5</v>
      </c>
      <c r="E30" t="str">
        <f>VLOOKUP(Simulated_Dept_Data[[#This Row],[SegmentID]],Table5[],2,FALSE)</f>
        <v>New Customers</v>
      </c>
      <c r="G30" t="str">
        <f>IFERROR(VLOOKUP(Simulated_Dept_Data[[#This Row],[ProfileID]],Table57[],2,FALSE),"NO PROFILE")</f>
        <v>NO PROFILE</v>
      </c>
      <c r="H30">
        <v>12282.51</v>
      </c>
      <c r="I30">
        <v>804</v>
      </c>
    </row>
    <row r="31" spans="1:9" x14ac:dyDescent="0.25">
      <c r="A31" t="s">
        <v>2</v>
      </c>
      <c r="B31" t="str">
        <f>VLOOKUP(Simulated_Dept_Data[[#This Row],[DepartmentID]],Table578[],2,FALSE)</f>
        <v>Shirts</v>
      </c>
      <c r="C31">
        <v>2022</v>
      </c>
      <c r="D31">
        <v>5</v>
      </c>
      <c r="E31" t="str">
        <f>VLOOKUP(Simulated_Dept_Data[[#This Row],[SegmentID]],Table5[],2,FALSE)</f>
        <v>New Customers</v>
      </c>
      <c r="F31">
        <v>1</v>
      </c>
      <c r="G31" t="str">
        <f>IFERROR(VLOOKUP(Simulated_Dept_Data[[#This Row],[ProfileID]],Table57[],2,FALSE),"NO PROFILE")</f>
        <v>City Slickers</v>
      </c>
      <c r="H31">
        <v>4141.88</v>
      </c>
      <c r="I31">
        <v>467</v>
      </c>
    </row>
    <row r="32" spans="1:9" x14ac:dyDescent="0.25">
      <c r="A32" t="s">
        <v>2</v>
      </c>
      <c r="B32" t="str">
        <f>VLOOKUP(Simulated_Dept_Data[[#This Row],[DepartmentID]],Table578[],2,FALSE)</f>
        <v>Shirts</v>
      </c>
      <c r="C32">
        <v>2022</v>
      </c>
      <c r="D32">
        <v>5</v>
      </c>
      <c r="E32" t="str">
        <f>VLOOKUP(Simulated_Dept_Data[[#This Row],[SegmentID]],Table5[],2,FALSE)</f>
        <v>New Customers</v>
      </c>
      <c r="F32">
        <v>2</v>
      </c>
      <c r="G32" t="str">
        <f>IFERROR(VLOOKUP(Simulated_Dept_Data[[#This Row],[ProfileID]],Table57[],2,FALSE),"NO PROFILE")</f>
        <v>Rich &amp; Richer</v>
      </c>
      <c r="H32">
        <v>8902.07</v>
      </c>
      <c r="I32">
        <v>684</v>
      </c>
    </row>
    <row r="33" spans="1:9" x14ac:dyDescent="0.25">
      <c r="A33" t="s">
        <v>2</v>
      </c>
      <c r="B33" t="str">
        <f>VLOOKUP(Simulated_Dept_Data[[#This Row],[DepartmentID]],Table578[],2,FALSE)</f>
        <v>Shirts</v>
      </c>
      <c r="C33">
        <v>2022</v>
      </c>
      <c r="D33">
        <v>5</v>
      </c>
      <c r="E33" t="str">
        <f>VLOOKUP(Simulated_Dept_Data[[#This Row],[SegmentID]],Table5[],2,FALSE)</f>
        <v>New Customers</v>
      </c>
      <c r="F33">
        <v>3</v>
      </c>
      <c r="G33" t="str">
        <f>IFERROR(VLOOKUP(Simulated_Dept_Data[[#This Row],[ProfileID]],Table57[],2,FALSE),"NO PROFILE")</f>
        <v>Mr. &amp; Mrs. Smiths</v>
      </c>
      <c r="H33">
        <v>13617.92</v>
      </c>
      <c r="I33">
        <v>846</v>
      </c>
    </row>
    <row r="34" spans="1:9" x14ac:dyDescent="0.25">
      <c r="A34" t="s">
        <v>2</v>
      </c>
      <c r="B34" t="str">
        <f>VLOOKUP(Simulated_Dept_Data[[#This Row],[DepartmentID]],Table578[],2,FALSE)</f>
        <v>Shirts</v>
      </c>
      <c r="C34">
        <v>2022</v>
      </c>
      <c r="D34">
        <v>5</v>
      </c>
      <c r="E34" t="str">
        <f>VLOOKUP(Simulated_Dept_Data[[#This Row],[SegmentID]],Table5[],2,FALSE)</f>
        <v>New Customers</v>
      </c>
      <c r="F34">
        <v>4</v>
      </c>
      <c r="G34" t="str">
        <f>IFERROR(VLOOKUP(Simulated_Dept_Data[[#This Row],[ProfileID]],Table57[],2,FALSE),"NO PROFILE")</f>
        <v>Blue Collar Royalty</v>
      </c>
      <c r="H34">
        <v>16.97</v>
      </c>
      <c r="I34">
        <v>30</v>
      </c>
    </row>
    <row r="35" spans="1:9" x14ac:dyDescent="0.25">
      <c r="A35" t="s">
        <v>2</v>
      </c>
      <c r="B35" t="str">
        <f>VLOOKUP(Simulated_Dept_Data[[#This Row],[DepartmentID]],Table578[],2,FALSE)</f>
        <v>Shirts</v>
      </c>
      <c r="C35">
        <v>2022</v>
      </c>
      <c r="D35">
        <v>5</v>
      </c>
      <c r="E35" t="str">
        <f>VLOOKUP(Simulated_Dept_Data[[#This Row],[SegmentID]],Table5[],2,FALSE)</f>
        <v>New Customers</v>
      </c>
      <c r="F35">
        <v>5</v>
      </c>
      <c r="G35" t="str">
        <f>IFERROR(VLOOKUP(Simulated_Dept_Data[[#This Row],[ProfileID]],Table57[],2,FALSE),"NO PROFILE")</f>
        <v>Pinched Pockets</v>
      </c>
      <c r="H35">
        <v>20.7</v>
      </c>
      <c r="I35">
        <v>33</v>
      </c>
    </row>
    <row r="36" spans="1:9" x14ac:dyDescent="0.25">
      <c r="A36" t="s">
        <v>2</v>
      </c>
      <c r="B36" t="str">
        <f>VLOOKUP(Simulated_Dept_Data[[#This Row],[DepartmentID]],Table578[],2,FALSE)</f>
        <v>Shirts</v>
      </c>
      <c r="C36">
        <v>2022</v>
      </c>
      <c r="D36">
        <v>5</v>
      </c>
      <c r="E36" t="str">
        <f>VLOOKUP(Simulated_Dept_Data[[#This Row],[SegmentID]],Table5[],2,FALSE)</f>
        <v>New Customers</v>
      </c>
      <c r="F36">
        <v>6</v>
      </c>
      <c r="G36" t="str">
        <f>IFERROR(VLOOKUP(Simulated_Dept_Data[[#This Row],[ProfileID]],Table57[],2,FALSE),"NO PROFILE")</f>
        <v>Normal Families</v>
      </c>
      <c r="H36">
        <v>103.4</v>
      </c>
      <c r="I36">
        <v>74</v>
      </c>
    </row>
    <row r="37" spans="1:9" x14ac:dyDescent="0.25">
      <c r="A37" t="s">
        <v>2</v>
      </c>
      <c r="B37" t="str">
        <f>VLOOKUP(Simulated_Dept_Data[[#This Row],[DepartmentID]],Table578[],2,FALSE)</f>
        <v>Shirts</v>
      </c>
      <c r="C37">
        <v>2023</v>
      </c>
      <c r="D37">
        <v>1</v>
      </c>
      <c r="E37" t="str">
        <f>VLOOKUP(Simulated_Dept_Data[[#This Row],[SegmentID]],Table5[],2,FALSE)</f>
        <v>Elite Customers</v>
      </c>
      <c r="G37" t="str">
        <f>IFERROR(VLOOKUP(Simulated_Dept_Data[[#This Row],[ProfileID]],Table57[],2,FALSE),"NO PROFILE")</f>
        <v>NO PROFILE</v>
      </c>
      <c r="H37">
        <v>2220.17</v>
      </c>
      <c r="I37">
        <v>319</v>
      </c>
    </row>
    <row r="38" spans="1:9" x14ac:dyDescent="0.25">
      <c r="A38" t="s">
        <v>2</v>
      </c>
      <c r="B38" t="str">
        <f>VLOOKUP(Simulated_Dept_Data[[#This Row],[DepartmentID]],Table578[],2,FALSE)</f>
        <v>Shirts</v>
      </c>
      <c r="C38">
        <v>2023</v>
      </c>
      <c r="D38">
        <v>1</v>
      </c>
      <c r="E38" t="str">
        <f>VLOOKUP(Simulated_Dept_Data[[#This Row],[SegmentID]],Table5[],2,FALSE)</f>
        <v>Elite Customers</v>
      </c>
      <c r="F38">
        <v>1</v>
      </c>
      <c r="G38" t="str">
        <f>IFERROR(VLOOKUP(Simulated_Dept_Data[[#This Row],[ProfileID]],Table57[],2,FALSE),"NO PROFILE")</f>
        <v>City Slickers</v>
      </c>
      <c r="H38">
        <v>6996.35</v>
      </c>
      <c r="I38">
        <v>567</v>
      </c>
    </row>
    <row r="39" spans="1:9" x14ac:dyDescent="0.25">
      <c r="A39" t="s">
        <v>2</v>
      </c>
      <c r="B39" t="str">
        <f>VLOOKUP(Simulated_Dept_Data[[#This Row],[DepartmentID]],Table578[],2,FALSE)</f>
        <v>Shirts</v>
      </c>
      <c r="C39">
        <v>2023</v>
      </c>
      <c r="D39">
        <v>1</v>
      </c>
      <c r="E39" t="str">
        <f>VLOOKUP(Simulated_Dept_Data[[#This Row],[SegmentID]],Table5[],2,FALSE)</f>
        <v>Elite Customers</v>
      </c>
      <c r="F39">
        <v>2</v>
      </c>
      <c r="G39" t="str">
        <f>IFERROR(VLOOKUP(Simulated_Dept_Data[[#This Row],[ProfileID]],Table57[],2,FALSE),"NO PROFILE")</f>
        <v>Rich &amp; Richer</v>
      </c>
      <c r="H39">
        <v>7956.79</v>
      </c>
      <c r="I39">
        <v>605</v>
      </c>
    </row>
    <row r="40" spans="1:9" x14ac:dyDescent="0.25">
      <c r="A40" t="s">
        <v>2</v>
      </c>
      <c r="B40" t="str">
        <f>VLOOKUP(Simulated_Dept_Data[[#This Row],[DepartmentID]],Table578[],2,FALSE)</f>
        <v>Shirts</v>
      </c>
      <c r="C40">
        <v>2023</v>
      </c>
      <c r="D40">
        <v>1</v>
      </c>
      <c r="E40" t="str">
        <f>VLOOKUP(Simulated_Dept_Data[[#This Row],[SegmentID]],Table5[],2,FALSE)</f>
        <v>Elite Customers</v>
      </c>
      <c r="F40">
        <v>3</v>
      </c>
      <c r="G40" t="str">
        <f>IFERROR(VLOOKUP(Simulated_Dept_Data[[#This Row],[ProfileID]],Table57[],2,FALSE),"NO PROFILE")</f>
        <v>Mr. &amp; Mrs. Smiths</v>
      </c>
      <c r="H40">
        <v>8138.5</v>
      </c>
      <c r="I40">
        <v>612</v>
      </c>
    </row>
    <row r="41" spans="1:9" x14ac:dyDescent="0.25">
      <c r="A41" t="s">
        <v>2</v>
      </c>
      <c r="B41" t="str">
        <f>VLOOKUP(Simulated_Dept_Data[[#This Row],[DepartmentID]],Table578[],2,FALSE)</f>
        <v>Shirts</v>
      </c>
      <c r="C41">
        <v>2023</v>
      </c>
      <c r="D41">
        <v>1</v>
      </c>
      <c r="E41" t="str">
        <f>VLOOKUP(Simulated_Dept_Data[[#This Row],[SegmentID]],Table5[],2,FALSE)</f>
        <v>Elite Customers</v>
      </c>
      <c r="F41">
        <v>4</v>
      </c>
      <c r="G41" t="str">
        <f>IFERROR(VLOOKUP(Simulated_Dept_Data[[#This Row],[ProfileID]],Table57[],2,FALSE),"NO PROFILE")</f>
        <v>Blue Collar Royalty</v>
      </c>
      <c r="H41">
        <v>2226.88</v>
      </c>
      <c r="I41">
        <v>320</v>
      </c>
    </row>
    <row r="42" spans="1:9" x14ac:dyDescent="0.25">
      <c r="A42" t="s">
        <v>2</v>
      </c>
      <c r="B42" t="str">
        <f>VLOOKUP(Simulated_Dept_Data[[#This Row],[DepartmentID]],Table578[],2,FALSE)</f>
        <v>Shirts</v>
      </c>
      <c r="C42">
        <v>2023</v>
      </c>
      <c r="D42">
        <v>1</v>
      </c>
      <c r="E42" t="str">
        <f>VLOOKUP(Simulated_Dept_Data[[#This Row],[SegmentID]],Table5[],2,FALSE)</f>
        <v>Elite Customers</v>
      </c>
      <c r="F42">
        <v>5</v>
      </c>
      <c r="G42" t="str">
        <f>IFERROR(VLOOKUP(Simulated_Dept_Data[[#This Row],[ProfileID]],Table57[],2,FALSE),"NO PROFILE")</f>
        <v>Pinched Pockets</v>
      </c>
      <c r="H42">
        <v>10783.45</v>
      </c>
      <c r="I42">
        <v>704</v>
      </c>
    </row>
    <row r="43" spans="1:9" x14ac:dyDescent="0.25">
      <c r="A43" t="s">
        <v>2</v>
      </c>
      <c r="B43" t="str">
        <f>VLOOKUP(Simulated_Dept_Data[[#This Row],[DepartmentID]],Table578[],2,FALSE)</f>
        <v>Shirts</v>
      </c>
      <c r="C43">
        <v>2023</v>
      </c>
      <c r="D43">
        <v>1</v>
      </c>
      <c r="E43" t="str">
        <f>VLOOKUP(Simulated_Dept_Data[[#This Row],[SegmentID]],Table5[],2,FALSE)</f>
        <v>Elite Customers</v>
      </c>
      <c r="F43">
        <v>6</v>
      </c>
      <c r="G43" t="str">
        <f>IFERROR(VLOOKUP(Simulated_Dept_Data[[#This Row],[ProfileID]],Table57[],2,FALSE),"NO PROFILE")</f>
        <v>Normal Families</v>
      </c>
      <c r="H43">
        <v>1694.2</v>
      </c>
      <c r="I43">
        <v>279</v>
      </c>
    </row>
    <row r="44" spans="1:9" x14ac:dyDescent="0.25">
      <c r="A44" t="s">
        <v>2</v>
      </c>
      <c r="B44" t="str">
        <f>VLOOKUP(Simulated_Dept_Data[[#This Row],[DepartmentID]],Table578[],2,FALSE)</f>
        <v>Shirts</v>
      </c>
      <c r="C44">
        <v>2023</v>
      </c>
      <c r="D44">
        <v>2</v>
      </c>
      <c r="E44" t="str">
        <f>VLOOKUP(Simulated_Dept_Data[[#This Row],[SegmentID]],Table5[],2,FALSE)</f>
        <v>Core Customers</v>
      </c>
      <c r="G44" t="str">
        <f>IFERROR(VLOOKUP(Simulated_Dept_Data[[#This Row],[ProfileID]],Table57[],2,FALSE),"NO PROFILE")</f>
        <v>NO PROFILE</v>
      </c>
      <c r="H44">
        <v>11171.88</v>
      </c>
      <c r="I44">
        <v>811</v>
      </c>
    </row>
    <row r="45" spans="1:9" x14ac:dyDescent="0.25">
      <c r="A45" t="s">
        <v>2</v>
      </c>
      <c r="B45" t="str">
        <f>VLOOKUP(Simulated_Dept_Data[[#This Row],[DepartmentID]],Table578[],2,FALSE)</f>
        <v>Shirts</v>
      </c>
      <c r="C45">
        <v>2023</v>
      </c>
      <c r="D45">
        <v>2</v>
      </c>
      <c r="E45" t="str">
        <f>VLOOKUP(Simulated_Dept_Data[[#This Row],[SegmentID]],Table5[],2,FALSE)</f>
        <v>Core Customers</v>
      </c>
      <c r="F45">
        <v>1</v>
      </c>
      <c r="G45" t="str">
        <f>IFERROR(VLOOKUP(Simulated_Dept_Data[[#This Row],[ProfileID]],Table57[],2,FALSE),"NO PROFILE")</f>
        <v>City Slickers</v>
      </c>
      <c r="H45">
        <v>2672.74</v>
      </c>
      <c r="I45">
        <v>396</v>
      </c>
    </row>
    <row r="46" spans="1:9" x14ac:dyDescent="0.25">
      <c r="A46" t="s">
        <v>2</v>
      </c>
      <c r="B46" t="str">
        <f>VLOOKUP(Simulated_Dept_Data[[#This Row],[DepartmentID]],Table578[],2,FALSE)</f>
        <v>Shirts</v>
      </c>
      <c r="C46">
        <v>2023</v>
      </c>
      <c r="D46">
        <v>2</v>
      </c>
      <c r="E46" t="str">
        <f>VLOOKUP(Simulated_Dept_Data[[#This Row],[SegmentID]],Table5[],2,FALSE)</f>
        <v>Core Customers</v>
      </c>
      <c r="F46">
        <v>2</v>
      </c>
      <c r="G46" t="str">
        <f>IFERROR(VLOOKUP(Simulated_Dept_Data[[#This Row],[ProfileID]],Table57[],2,FALSE),"NO PROFILE")</f>
        <v>Rich &amp; Richer</v>
      </c>
      <c r="H46">
        <v>4273.12</v>
      </c>
      <c r="I46">
        <v>501</v>
      </c>
    </row>
    <row r="47" spans="1:9" x14ac:dyDescent="0.25">
      <c r="A47" t="s">
        <v>2</v>
      </c>
      <c r="B47" t="str">
        <f>VLOOKUP(Simulated_Dept_Data[[#This Row],[DepartmentID]],Table578[],2,FALSE)</f>
        <v>Shirts</v>
      </c>
      <c r="C47">
        <v>2023</v>
      </c>
      <c r="D47">
        <v>2</v>
      </c>
      <c r="E47" t="str">
        <f>VLOOKUP(Simulated_Dept_Data[[#This Row],[SegmentID]],Table5[],2,FALSE)</f>
        <v>Core Customers</v>
      </c>
      <c r="F47">
        <v>3</v>
      </c>
      <c r="G47" t="str">
        <f>IFERROR(VLOOKUP(Simulated_Dept_Data[[#This Row],[ProfileID]],Table57[],2,FALSE),"NO PROFILE")</f>
        <v>Mr. &amp; Mrs. Smiths</v>
      </c>
      <c r="H47">
        <v>9352.3700000000008</v>
      </c>
      <c r="I47">
        <v>742</v>
      </c>
    </row>
    <row r="48" spans="1:9" x14ac:dyDescent="0.25">
      <c r="A48" t="s">
        <v>2</v>
      </c>
      <c r="B48" t="str">
        <f>VLOOKUP(Simulated_Dept_Data[[#This Row],[DepartmentID]],Table578[],2,FALSE)</f>
        <v>Shirts</v>
      </c>
      <c r="C48">
        <v>2023</v>
      </c>
      <c r="D48">
        <v>2</v>
      </c>
      <c r="E48" t="str">
        <f>VLOOKUP(Simulated_Dept_Data[[#This Row],[SegmentID]],Table5[],2,FALSE)</f>
        <v>Core Customers</v>
      </c>
      <c r="F48">
        <v>4</v>
      </c>
      <c r="G48" t="str">
        <f>IFERROR(VLOOKUP(Simulated_Dept_Data[[#This Row],[ProfileID]],Table57[],2,FALSE),"NO PROFILE")</f>
        <v>Blue Collar Royalty</v>
      </c>
      <c r="H48">
        <v>6.58</v>
      </c>
      <c r="I48">
        <v>20</v>
      </c>
    </row>
    <row r="49" spans="1:9" x14ac:dyDescent="0.25">
      <c r="A49" t="s">
        <v>2</v>
      </c>
      <c r="B49" t="str">
        <f>VLOOKUP(Simulated_Dept_Data[[#This Row],[DepartmentID]],Table578[],2,FALSE)</f>
        <v>Shirts</v>
      </c>
      <c r="C49">
        <v>2023</v>
      </c>
      <c r="D49">
        <v>2</v>
      </c>
      <c r="E49" t="str">
        <f>VLOOKUP(Simulated_Dept_Data[[#This Row],[SegmentID]],Table5[],2,FALSE)</f>
        <v>Core Customers</v>
      </c>
      <c r="F49">
        <v>5</v>
      </c>
      <c r="G49" t="str">
        <f>IFERROR(VLOOKUP(Simulated_Dept_Data[[#This Row],[ProfileID]],Table57[],2,FALSE),"NO PROFILE")</f>
        <v>Pinched Pockets</v>
      </c>
      <c r="H49">
        <v>1942.72</v>
      </c>
      <c r="I49">
        <v>338</v>
      </c>
    </row>
    <row r="50" spans="1:9" x14ac:dyDescent="0.25">
      <c r="A50" t="s">
        <v>2</v>
      </c>
      <c r="B50" t="str">
        <f>VLOOKUP(Simulated_Dept_Data[[#This Row],[DepartmentID]],Table578[],2,FALSE)</f>
        <v>Shirts</v>
      </c>
      <c r="C50">
        <v>2023</v>
      </c>
      <c r="D50">
        <v>2</v>
      </c>
      <c r="E50" t="str">
        <f>VLOOKUP(Simulated_Dept_Data[[#This Row],[SegmentID]],Table5[],2,FALSE)</f>
        <v>Core Customers</v>
      </c>
      <c r="F50">
        <v>6</v>
      </c>
      <c r="G50" t="str">
        <f>IFERROR(VLOOKUP(Simulated_Dept_Data[[#This Row],[ProfileID]],Table57[],2,FALSE),"NO PROFILE")</f>
        <v>Normal Families</v>
      </c>
      <c r="H50">
        <v>1169.28</v>
      </c>
      <c r="I50">
        <v>262</v>
      </c>
    </row>
    <row r="51" spans="1:9" x14ac:dyDescent="0.25">
      <c r="A51" t="s">
        <v>2</v>
      </c>
      <c r="B51" t="str">
        <f>VLOOKUP(Simulated_Dept_Data[[#This Row],[DepartmentID]],Table578[],2,FALSE)</f>
        <v>Shirts</v>
      </c>
      <c r="C51">
        <v>2023</v>
      </c>
      <c r="D51">
        <v>3</v>
      </c>
      <c r="E51" t="str">
        <f>VLOOKUP(Simulated_Dept_Data[[#This Row],[SegmentID]],Table5[],2,FALSE)</f>
        <v>Power Shoppers</v>
      </c>
      <c r="G51" t="str">
        <f>IFERROR(VLOOKUP(Simulated_Dept_Data[[#This Row],[ProfileID]],Table57[],2,FALSE),"NO PROFILE")</f>
        <v>NO PROFILE</v>
      </c>
      <c r="H51">
        <v>2468.8000000000002</v>
      </c>
      <c r="I51">
        <v>381</v>
      </c>
    </row>
    <row r="52" spans="1:9" x14ac:dyDescent="0.25">
      <c r="A52" t="s">
        <v>2</v>
      </c>
      <c r="B52" t="str">
        <f>VLOOKUP(Simulated_Dept_Data[[#This Row],[DepartmentID]],Table578[],2,FALSE)</f>
        <v>Shirts</v>
      </c>
      <c r="C52">
        <v>2023</v>
      </c>
      <c r="D52">
        <v>3</v>
      </c>
      <c r="E52" t="str">
        <f>VLOOKUP(Simulated_Dept_Data[[#This Row],[SegmentID]],Table5[],2,FALSE)</f>
        <v>Power Shoppers</v>
      </c>
      <c r="F52">
        <v>1</v>
      </c>
      <c r="G52" t="str">
        <f>IFERROR(VLOOKUP(Simulated_Dept_Data[[#This Row],[ProfileID]],Table57[],2,FALSE),"NO PROFILE")</f>
        <v>City Slickers</v>
      </c>
      <c r="H52">
        <v>11822.75</v>
      </c>
      <c r="I52">
        <v>833</v>
      </c>
    </row>
    <row r="53" spans="1:9" x14ac:dyDescent="0.25">
      <c r="A53" t="s">
        <v>2</v>
      </c>
      <c r="B53" t="str">
        <f>VLOOKUP(Simulated_Dept_Data[[#This Row],[DepartmentID]],Table578[],2,FALSE)</f>
        <v>Shirts</v>
      </c>
      <c r="C53">
        <v>2023</v>
      </c>
      <c r="D53">
        <v>3</v>
      </c>
      <c r="E53" t="str">
        <f>VLOOKUP(Simulated_Dept_Data[[#This Row],[SegmentID]],Table5[],2,FALSE)</f>
        <v>Power Shoppers</v>
      </c>
      <c r="F53">
        <v>2</v>
      </c>
      <c r="G53" t="str">
        <f>IFERROR(VLOOKUP(Simulated_Dept_Data[[#This Row],[ProfileID]],Table57[],2,FALSE),"NO PROFILE")</f>
        <v>Rich &amp; Richer</v>
      </c>
      <c r="H53">
        <v>1615.26</v>
      </c>
      <c r="I53">
        <v>308</v>
      </c>
    </row>
    <row r="54" spans="1:9" x14ac:dyDescent="0.25">
      <c r="A54" t="s">
        <v>2</v>
      </c>
      <c r="B54" t="str">
        <f>VLOOKUP(Simulated_Dept_Data[[#This Row],[DepartmentID]],Table578[],2,FALSE)</f>
        <v>Shirts</v>
      </c>
      <c r="C54">
        <v>2023</v>
      </c>
      <c r="D54">
        <v>3</v>
      </c>
      <c r="E54" t="str">
        <f>VLOOKUP(Simulated_Dept_Data[[#This Row],[SegmentID]],Table5[],2,FALSE)</f>
        <v>Power Shoppers</v>
      </c>
      <c r="F54">
        <v>3</v>
      </c>
      <c r="G54" t="str">
        <f>IFERROR(VLOOKUP(Simulated_Dept_Data[[#This Row],[ProfileID]],Table57[],2,FALSE),"NO PROFILE")</f>
        <v>Mr. &amp; Mrs. Smiths</v>
      </c>
      <c r="H54">
        <v>231.55</v>
      </c>
      <c r="I54">
        <v>117</v>
      </c>
    </row>
    <row r="55" spans="1:9" x14ac:dyDescent="0.25">
      <c r="A55" t="s">
        <v>2</v>
      </c>
      <c r="B55" t="str">
        <f>VLOOKUP(Simulated_Dept_Data[[#This Row],[DepartmentID]],Table578[],2,FALSE)</f>
        <v>Shirts</v>
      </c>
      <c r="C55">
        <v>2023</v>
      </c>
      <c r="D55">
        <v>3</v>
      </c>
      <c r="E55" t="str">
        <f>VLOOKUP(Simulated_Dept_Data[[#This Row],[SegmentID]],Table5[],2,FALSE)</f>
        <v>Power Shoppers</v>
      </c>
      <c r="F55">
        <v>4</v>
      </c>
      <c r="G55" t="str">
        <f>IFERROR(VLOOKUP(Simulated_Dept_Data[[#This Row],[ProfileID]],Table57[],2,FALSE),"NO PROFILE")</f>
        <v>Blue Collar Royalty</v>
      </c>
      <c r="H55">
        <v>6953.72</v>
      </c>
      <c r="I55">
        <v>639</v>
      </c>
    </row>
    <row r="56" spans="1:9" x14ac:dyDescent="0.25">
      <c r="A56" t="s">
        <v>2</v>
      </c>
      <c r="B56" t="str">
        <f>VLOOKUP(Simulated_Dept_Data[[#This Row],[DepartmentID]],Table578[],2,FALSE)</f>
        <v>Shirts</v>
      </c>
      <c r="C56">
        <v>2023</v>
      </c>
      <c r="D56">
        <v>3</v>
      </c>
      <c r="E56" t="str">
        <f>VLOOKUP(Simulated_Dept_Data[[#This Row],[SegmentID]],Table5[],2,FALSE)</f>
        <v>Power Shoppers</v>
      </c>
      <c r="F56">
        <v>5</v>
      </c>
      <c r="G56" t="str">
        <f>IFERROR(VLOOKUP(Simulated_Dept_Data[[#This Row],[ProfileID]],Table57[],2,FALSE),"NO PROFILE")</f>
        <v>Pinched Pockets</v>
      </c>
      <c r="H56">
        <v>2508.8200000000002</v>
      </c>
      <c r="I56">
        <v>384</v>
      </c>
    </row>
    <row r="57" spans="1:9" x14ac:dyDescent="0.25">
      <c r="A57" t="s">
        <v>2</v>
      </c>
      <c r="B57" t="str">
        <f>VLOOKUP(Simulated_Dept_Data[[#This Row],[DepartmentID]],Table578[],2,FALSE)</f>
        <v>Shirts</v>
      </c>
      <c r="C57">
        <v>2023</v>
      </c>
      <c r="D57">
        <v>3</v>
      </c>
      <c r="E57" t="str">
        <f>VLOOKUP(Simulated_Dept_Data[[#This Row],[SegmentID]],Table5[],2,FALSE)</f>
        <v>Power Shoppers</v>
      </c>
      <c r="F57">
        <v>6</v>
      </c>
      <c r="G57" t="str">
        <f>IFERROR(VLOOKUP(Simulated_Dept_Data[[#This Row],[ProfileID]],Table57[],2,FALSE),"NO PROFILE")</f>
        <v>Normal Families</v>
      </c>
      <c r="H57">
        <v>72.709999999999994</v>
      </c>
      <c r="I57">
        <v>65</v>
      </c>
    </row>
    <row r="58" spans="1:9" x14ac:dyDescent="0.25">
      <c r="A58" t="s">
        <v>2</v>
      </c>
      <c r="B58" t="str">
        <f>VLOOKUP(Simulated_Dept_Data[[#This Row],[DepartmentID]],Table578[],2,FALSE)</f>
        <v>Shirts</v>
      </c>
      <c r="C58">
        <v>2023</v>
      </c>
      <c r="D58">
        <v>4</v>
      </c>
      <c r="E58" t="str">
        <f>VLOOKUP(Simulated_Dept_Data[[#This Row],[SegmentID]],Table5[],2,FALSE)</f>
        <v>Infrequent Customers</v>
      </c>
      <c r="G58" t="str">
        <f>IFERROR(VLOOKUP(Simulated_Dept_Data[[#This Row],[ProfileID]],Table57[],2,FALSE),"NO PROFILE")</f>
        <v>NO PROFILE</v>
      </c>
      <c r="H58">
        <v>2496.34</v>
      </c>
      <c r="I58">
        <v>367</v>
      </c>
    </row>
    <row r="59" spans="1:9" x14ac:dyDescent="0.25">
      <c r="A59" t="s">
        <v>2</v>
      </c>
      <c r="B59" t="str">
        <f>VLOOKUP(Simulated_Dept_Data[[#This Row],[DepartmentID]],Table578[],2,FALSE)</f>
        <v>Shirts</v>
      </c>
      <c r="C59">
        <v>2023</v>
      </c>
      <c r="D59">
        <v>4</v>
      </c>
      <c r="E59" t="str">
        <f>VLOOKUP(Simulated_Dept_Data[[#This Row],[SegmentID]],Table5[],2,FALSE)</f>
        <v>Infrequent Customers</v>
      </c>
      <c r="F59">
        <v>1</v>
      </c>
      <c r="G59" t="str">
        <f>IFERROR(VLOOKUP(Simulated_Dept_Data[[#This Row],[ProfileID]],Table57[],2,FALSE),"NO PROFILE")</f>
        <v>City Slickers</v>
      </c>
      <c r="H59">
        <v>10041.209999999999</v>
      </c>
      <c r="I59">
        <v>736</v>
      </c>
    </row>
    <row r="60" spans="1:9" x14ac:dyDescent="0.25">
      <c r="A60" t="s">
        <v>2</v>
      </c>
      <c r="B60" t="str">
        <f>VLOOKUP(Simulated_Dept_Data[[#This Row],[DepartmentID]],Table578[],2,FALSE)</f>
        <v>Shirts</v>
      </c>
      <c r="C60">
        <v>2023</v>
      </c>
      <c r="D60">
        <v>4</v>
      </c>
      <c r="E60" t="str">
        <f>VLOOKUP(Simulated_Dept_Data[[#This Row],[SegmentID]],Table5[],2,FALSE)</f>
        <v>Infrequent Customers</v>
      </c>
      <c r="F60">
        <v>2</v>
      </c>
      <c r="G60" t="str">
        <f>IFERROR(VLOOKUP(Simulated_Dept_Data[[#This Row],[ProfileID]],Table57[],2,FALSE),"NO PROFILE")</f>
        <v>Rich &amp; Richer</v>
      </c>
      <c r="H60">
        <v>234.22</v>
      </c>
      <c r="I60">
        <v>112</v>
      </c>
    </row>
    <row r="61" spans="1:9" x14ac:dyDescent="0.25">
      <c r="A61" t="s">
        <v>2</v>
      </c>
      <c r="B61" t="str">
        <f>VLOOKUP(Simulated_Dept_Data[[#This Row],[DepartmentID]],Table578[],2,FALSE)</f>
        <v>Shirts</v>
      </c>
      <c r="C61">
        <v>2023</v>
      </c>
      <c r="D61">
        <v>4</v>
      </c>
      <c r="E61" t="str">
        <f>VLOOKUP(Simulated_Dept_Data[[#This Row],[SegmentID]],Table5[],2,FALSE)</f>
        <v>Infrequent Customers</v>
      </c>
      <c r="F61">
        <v>3</v>
      </c>
      <c r="G61" t="str">
        <f>IFERROR(VLOOKUP(Simulated_Dept_Data[[#This Row],[ProfileID]],Table57[],2,FALSE),"NO PROFILE")</f>
        <v>Mr. &amp; Mrs. Smiths</v>
      </c>
      <c r="H61">
        <v>1980.46</v>
      </c>
      <c r="I61">
        <v>327</v>
      </c>
    </row>
    <row r="62" spans="1:9" x14ac:dyDescent="0.25">
      <c r="A62" t="s">
        <v>2</v>
      </c>
      <c r="B62" t="str">
        <f>VLOOKUP(Simulated_Dept_Data[[#This Row],[DepartmentID]],Table578[],2,FALSE)</f>
        <v>Shirts</v>
      </c>
      <c r="C62">
        <v>2023</v>
      </c>
      <c r="D62">
        <v>4</v>
      </c>
      <c r="E62" t="str">
        <f>VLOOKUP(Simulated_Dept_Data[[#This Row],[SegmentID]],Table5[],2,FALSE)</f>
        <v>Infrequent Customers</v>
      </c>
      <c r="F62">
        <v>4</v>
      </c>
      <c r="G62" t="str">
        <f>IFERROR(VLOOKUP(Simulated_Dept_Data[[#This Row],[ProfileID]],Table57[],2,FALSE),"NO PROFILE")</f>
        <v>Blue Collar Royalty</v>
      </c>
      <c r="H62">
        <v>9362.93</v>
      </c>
      <c r="I62">
        <v>711</v>
      </c>
    </row>
    <row r="63" spans="1:9" x14ac:dyDescent="0.25">
      <c r="A63" t="s">
        <v>2</v>
      </c>
      <c r="B63" t="str">
        <f>VLOOKUP(Simulated_Dept_Data[[#This Row],[DepartmentID]],Table578[],2,FALSE)</f>
        <v>Shirts</v>
      </c>
      <c r="C63">
        <v>2023</v>
      </c>
      <c r="D63">
        <v>4</v>
      </c>
      <c r="E63" t="str">
        <f>VLOOKUP(Simulated_Dept_Data[[#This Row],[SegmentID]],Table5[],2,FALSE)</f>
        <v>Infrequent Customers</v>
      </c>
      <c r="F63">
        <v>5</v>
      </c>
      <c r="G63" t="str">
        <f>IFERROR(VLOOKUP(Simulated_Dept_Data[[#This Row],[ProfileID]],Table57[],2,FALSE),"NO PROFILE")</f>
        <v>Pinched Pockets</v>
      </c>
      <c r="H63">
        <v>19.93</v>
      </c>
      <c r="I63">
        <v>33</v>
      </c>
    </row>
    <row r="64" spans="1:9" x14ac:dyDescent="0.25">
      <c r="A64" t="s">
        <v>2</v>
      </c>
      <c r="B64" t="str">
        <f>VLOOKUP(Simulated_Dept_Data[[#This Row],[DepartmentID]],Table578[],2,FALSE)</f>
        <v>Shirts</v>
      </c>
      <c r="C64">
        <v>2023</v>
      </c>
      <c r="D64">
        <v>4</v>
      </c>
      <c r="E64" t="str">
        <f>VLOOKUP(Simulated_Dept_Data[[#This Row],[SegmentID]],Table5[],2,FALSE)</f>
        <v>Infrequent Customers</v>
      </c>
      <c r="F64">
        <v>6</v>
      </c>
      <c r="G64" t="str">
        <f>IFERROR(VLOOKUP(Simulated_Dept_Data[[#This Row],[ProfileID]],Table57[],2,FALSE),"NO PROFILE")</f>
        <v>Normal Families</v>
      </c>
      <c r="H64">
        <v>1006.68</v>
      </c>
      <c r="I64">
        <v>233</v>
      </c>
    </row>
    <row r="65" spans="1:9" x14ac:dyDescent="0.25">
      <c r="A65" t="s">
        <v>2</v>
      </c>
      <c r="B65" t="str">
        <f>VLOOKUP(Simulated_Dept_Data[[#This Row],[DepartmentID]],Table578[],2,FALSE)</f>
        <v>Shirts</v>
      </c>
      <c r="C65">
        <v>2023</v>
      </c>
      <c r="D65">
        <v>5</v>
      </c>
      <c r="E65" t="str">
        <f>VLOOKUP(Simulated_Dept_Data[[#This Row],[SegmentID]],Table5[],2,FALSE)</f>
        <v>New Customers</v>
      </c>
      <c r="G65" t="str">
        <f>IFERROR(VLOOKUP(Simulated_Dept_Data[[#This Row],[ProfileID]],Table57[],2,FALSE),"NO PROFILE")</f>
        <v>NO PROFILE</v>
      </c>
      <c r="H65">
        <v>14627.55</v>
      </c>
      <c r="I65">
        <v>888</v>
      </c>
    </row>
    <row r="66" spans="1:9" x14ac:dyDescent="0.25">
      <c r="A66" t="s">
        <v>2</v>
      </c>
      <c r="B66" t="str">
        <f>VLOOKUP(Simulated_Dept_Data[[#This Row],[DepartmentID]],Table578[],2,FALSE)</f>
        <v>Shirts</v>
      </c>
      <c r="C66">
        <v>2023</v>
      </c>
      <c r="D66">
        <v>5</v>
      </c>
      <c r="E66" t="str">
        <f>VLOOKUP(Simulated_Dept_Data[[#This Row],[SegmentID]],Table5[],2,FALSE)</f>
        <v>New Customers</v>
      </c>
      <c r="F66">
        <v>1</v>
      </c>
      <c r="G66" t="str">
        <f>IFERROR(VLOOKUP(Simulated_Dept_Data[[#This Row],[ProfileID]],Table57[],2,FALSE),"NO PROFILE")</f>
        <v>City Slickers</v>
      </c>
      <c r="H66">
        <v>4932.67</v>
      </c>
      <c r="I66">
        <v>516</v>
      </c>
    </row>
    <row r="67" spans="1:9" x14ac:dyDescent="0.25">
      <c r="A67" t="s">
        <v>2</v>
      </c>
      <c r="B67" t="str">
        <f>VLOOKUP(Simulated_Dept_Data[[#This Row],[DepartmentID]],Table578[],2,FALSE)</f>
        <v>Shirts</v>
      </c>
      <c r="C67">
        <v>2023</v>
      </c>
      <c r="D67">
        <v>5</v>
      </c>
      <c r="E67" t="str">
        <f>VLOOKUP(Simulated_Dept_Data[[#This Row],[SegmentID]],Table5[],2,FALSE)</f>
        <v>New Customers</v>
      </c>
      <c r="F67">
        <v>2</v>
      </c>
      <c r="G67" t="str">
        <f>IFERROR(VLOOKUP(Simulated_Dept_Data[[#This Row],[ProfileID]],Table57[],2,FALSE),"NO PROFILE")</f>
        <v>Rich &amp; Richer</v>
      </c>
      <c r="H67">
        <v>10601.69</v>
      </c>
      <c r="I67">
        <v>756</v>
      </c>
    </row>
    <row r="68" spans="1:9" x14ac:dyDescent="0.25">
      <c r="A68" t="s">
        <v>2</v>
      </c>
      <c r="B68" t="str">
        <f>VLOOKUP(Simulated_Dept_Data[[#This Row],[DepartmentID]],Table578[],2,FALSE)</f>
        <v>Shirts</v>
      </c>
      <c r="C68">
        <v>2023</v>
      </c>
      <c r="D68">
        <v>5</v>
      </c>
      <c r="E68" t="str">
        <f>VLOOKUP(Simulated_Dept_Data[[#This Row],[SegmentID]],Table5[],2,FALSE)</f>
        <v>New Customers</v>
      </c>
      <c r="F68">
        <v>3</v>
      </c>
      <c r="G68" t="str">
        <f>IFERROR(VLOOKUP(Simulated_Dept_Data[[#This Row],[ProfileID]],Table57[],2,FALSE),"NO PROFILE")</f>
        <v>Mr. &amp; Mrs. Smiths</v>
      </c>
      <c r="H68">
        <v>16217.92</v>
      </c>
      <c r="I68">
        <v>935</v>
      </c>
    </row>
    <row r="69" spans="1:9" x14ac:dyDescent="0.25">
      <c r="A69" t="s">
        <v>2</v>
      </c>
      <c r="B69" t="str">
        <f>VLOOKUP(Simulated_Dept_Data[[#This Row],[DepartmentID]],Table578[],2,FALSE)</f>
        <v>Shirts</v>
      </c>
      <c r="C69">
        <v>2023</v>
      </c>
      <c r="D69">
        <v>5</v>
      </c>
      <c r="E69" t="str">
        <f>VLOOKUP(Simulated_Dept_Data[[#This Row],[SegmentID]],Table5[],2,FALSE)</f>
        <v>New Customers</v>
      </c>
      <c r="F69">
        <v>4</v>
      </c>
      <c r="G69" t="str">
        <f>IFERROR(VLOOKUP(Simulated_Dept_Data[[#This Row],[ProfileID]],Table57[],2,FALSE),"NO PROFILE")</f>
        <v>Blue Collar Royalty</v>
      </c>
      <c r="H69">
        <v>20.21</v>
      </c>
      <c r="I69">
        <v>33</v>
      </c>
    </row>
    <row r="70" spans="1:9" x14ac:dyDescent="0.25">
      <c r="A70" t="s">
        <v>2</v>
      </c>
      <c r="B70" t="str">
        <f>VLOOKUP(Simulated_Dept_Data[[#This Row],[DepartmentID]],Table578[],2,FALSE)</f>
        <v>Shirts</v>
      </c>
      <c r="C70">
        <v>2023</v>
      </c>
      <c r="D70">
        <v>5</v>
      </c>
      <c r="E70" t="str">
        <f>VLOOKUP(Simulated_Dept_Data[[#This Row],[SegmentID]],Table5[],2,FALSE)</f>
        <v>New Customers</v>
      </c>
      <c r="F70">
        <v>5</v>
      </c>
      <c r="G70" t="str">
        <f>IFERROR(VLOOKUP(Simulated_Dept_Data[[#This Row],[ProfileID]],Table57[],2,FALSE),"NO PROFILE")</f>
        <v>Pinched Pockets</v>
      </c>
      <c r="H70">
        <v>24.65</v>
      </c>
      <c r="I70">
        <v>36</v>
      </c>
    </row>
    <row r="71" spans="1:9" x14ac:dyDescent="0.25">
      <c r="A71" t="s">
        <v>2</v>
      </c>
      <c r="B71" t="str">
        <f>VLOOKUP(Simulated_Dept_Data[[#This Row],[DepartmentID]],Table578[],2,FALSE)</f>
        <v>Shirts</v>
      </c>
      <c r="C71">
        <v>2023</v>
      </c>
      <c r="D71">
        <v>5</v>
      </c>
      <c r="E71" t="str">
        <f>VLOOKUP(Simulated_Dept_Data[[#This Row],[SegmentID]],Table5[],2,FALSE)</f>
        <v>New Customers</v>
      </c>
      <c r="F71">
        <v>6</v>
      </c>
      <c r="G71" t="str">
        <f>IFERROR(VLOOKUP(Simulated_Dept_Data[[#This Row],[ProfileID]],Table57[],2,FALSE),"NO PROFILE")</f>
        <v>Normal Families</v>
      </c>
      <c r="H71">
        <v>123.14</v>
      </c>
      <c r="I71">
        <v>81</v>
      </c>
    </row>
    <row r="72" spans="1:9" x14ac:dyDescent="0.25">
      <c r="A72" t="s">
        <v>3</v>
      </c>
      <c r="B72" t="str">
        <f>VLOOKUP(Simulated_Dept_Data[[#This Row],[DepartmentID]],Table578[],2,FALSE)</f>
        <v>Women's Jeans</v>
      </c>
      <c r="C72">
        <v>2022</v>
      </c>
      <c r="D72">
        <v>1</v>
      </c>
      <c r="E72" t="str">
        <f>VLOOKUP(Simulated_Dept_Data[[#This Row],[SegmentID]],Table5[],2,FALSE)</f>
        <v>Elite Customers</v>
      </c>
      <c r="G72" t="str">
        <f>IFERROR(VLOOKUP(Simulated_Dept_Data[[#This Row],[ProfileID]],Table57[],2,FALSE),"NO PROFILE")</f>
        <v>NO PROFILE</v>
      </c>
      <c r="H72">
        <v>6791.26</v>
      </c>
      <c r="I72">
        <v>616</v>
      </c>
    </row>
    <row r="73" spans="1:9" x14ac:dyDescent="0.25">
      <c r="A73" t="s">
        <v>3</v>
      </c>
      <c r="B73" t="str">
        <f>VLOOKUP(Simulated_Dept_Data[[#This Row],[DepartmentID]],Table578[],2,FALSE)</f>
        <v>Women's Jeans</v>
      </c>
      <c r="C73">
        <v>2022</v>
      </c>
      <c r="D73">
        <v>1</v>
      </c>
      <c r="E73" t="str">
        <f>VLOOKUP(Simulated_Dept_Data[[#This Row],[SegmentID]],Table5[],2,FALSE)</f>
        <v>Elite Customers</v>
      </c>
      <c r="F73">
        <v>1</v>
      </c>
      <c r="G73" t="str">
        <f>IFERROR(VLOOKUP(Simulated_Dept_Data[[#This Row],[ProfileID]],Table57[],2,FALSE),"NO PROFILE")</f>
        <v>City Slickers</v>
      </c>
      <c r="H73">
        <v>21401.119999999999</v>
      </c>
      <c r="I73">
        <v>1093</v>
      </c>
    </row>
    <row r="74" spans="1:9" x14ac:dyDescent="0.25">
      <c r="A74" t="s">
        <v>3</v>
      </c>
      <c r="B74" t="str">
        <f>VLOOKUP(Simulated_Dept_Data[[#This Row],[DepartmentID]],Table578[],2,FALSE)</f>
        <v>Women's Jeans</v>
      </c>
      <c r="C74">
        <v>2022</v>
      </c>
      <c r="D74">
        <v>1</v>
      </c>
      <c r="E74" t="str">
        <f>VLOOKUP(Simulated_Dept_Data[[#This Row],[SegmentID]],Table5[],2,FALSE)</f>
        <v>Elite Customers</v>
      </c>
      <c r="F74">
        <v>2</v>
      </c>
      <c r="G74" t="str">
        <f>IFERROR(VLOOKUP(Simulated_Dept_Data[[#This Row],[ProfileID]],Table57[],2,FALSE),"NO PROFILE")</f>
        <v>Rich &amp; Richer</v>
      </c>
      <c r="H74">
        <v>24338.99</v>
      </c>
      <c r="I74">
        <v>1166</v>
      </c>
    </row>
    <row r="75" spans="1:9" x14ac:dyDescent="0.25">
      <c r="A75" t="s">
        <v>3</v>
      </c>
      <c r="B75" t="str">
        <f>VLOOKUP(Simulated_Dept_Data[[#This Row],[DepartmentID]],Table578[],2,FALSE)</f>
        <v>Women's Jeans</v>
      </c>
      <c r="C75">
        <v>2022</v>
      </c>
      <c r="D75">
        <v>1</v>
      </c>
      <c r="E75" t="str">
        <f>VLOOKUP(Simulated_Dept_Data[[#This Row],[SegmentID]],Table5[],2,FALSE)</f>
        <v>Elite Customers</v>
      </c>
      <c r="F75">
        <v>3</v>
      </c>
      <c r="G75" t="str">
        <f>IFERROR(VLOOKUP(Simulated_Dept_Data[[#This Row],[ProfileID]],Table57[],2,FALSE),"NO PROFILE")</f>
        <v>Mr. &amp; Mrs. Smiths</v>
      </c>
      <c r="H75">
        <v>24894.83</v>
      </c>
      <c r="I75">
        <v>1179</v>
      </c>
    </row>
    <row r="76" spans="1:9" x14ac:dyDescent="0.25">
      <c r="A76" t="s">
        <v>3</v>
      </c>
      <c r="B76" t="str">
        <f>VLOOKUP(Simulated_Dept_Data[[#This Row],[DepartmentID]],Table578[],2,FALSE)</f>
        <v>Women's Jeans</v>
      </c>
      <c r="C76">
        <v>2022</v>
      </c>
      <c r="D76">
        <v>1</v>
      </c>
      <c r="E76" t="str">
        <f>VLOOKUP(Simulated_Dept_Data[[#This Row],[SegmentID]],Table5[],2,FALSE)</f>
        <v>Elite Customers</v>
      </c>
      <c r="F76">
        <v>4</v>
      </c>
      <c r="G76" t="str">
        <f>IFERROR(VLOOKUP(Simulated_Dept_Data[[#This Row],[ProfileID]],Table57[],2,FALSE),"NO PROFILE")</f>
        <v>Blue Collar Royalty</v>
      </c>
      <c r="H76">
        <v>6811.81</v>
      </c>
      <c r="I76">
        <v>617</v>
      </c>
    </row>
    <row r="77" spans="1:9" x14ac:dyDescent="0.25">
      <c r="A77" t="s">
        <v>3</v>
      </c>
      <c r="B77" t="str">
        <f>VLOOKUP(Simulated_Dept_Data[[#This Row],[DepartmentID]],Table578[],2,FALSE)</f>
        <v>Women's Jeans</v>
      </c>
      <c r="C77">
        <v>2022</v>
      </c>
      <c r="D77">
        <v>1</v>
      </c>
      <c r="E77" t="str">
        <f>VLOOKUP(Simulated_Dept_Data[[#This Row],[SegmentID]],Table5[],2,FALSE)</f>
        <v>Elite Customers</v>
      </c>
      <c r="F77">
        <v>5</v>
      </c>
      <c r="G77" t="str">
        <f>IFERROR(VLOOKUP(Simulated_Dept_Data[[#This Row],[ProfileID]],Table57[],2,FALSE),"NO PROFILE")</f>
        <v>Pinched Pockets</v>
      </c>
      <c r="H77">
        <v>32985.46</v>
      </c>
      <c r="I77">
        <v>1358</v>
      </c>
    </row>
    <row r="78" spans="1:9" x14ac:dyDescent="0.25">
      <c r="A78" t="s">
        <v>3</v>
      </c>
      <c r="B78" t="str">
        <f>VLOOKUP(Simulated_Dept_Data[[#This Row],[DepartmentID]],Table578[],2,FALSE)</f>
        <v>Women's Jeans</v>
      </c>
      <c r="C78">
        <v>2022</v>
      </c>
      <c r="D78">
        <v>1</v>
      </c>
      <c r="E78" t="str">
        <f>VLOOKUP(Simulated_Dept_Data[[#This Row],[SegmentID]],Table5[],2,FALSE)</f>
        <v>Elite Customers</v>
      </c>
      <c r="F78">
        <v>6</v>
      </c>
      <c r="G78" t="str">
        <f>IFERROR(VLOOKUP(Simulated_Dept_Data[[#This Row],[ProfileID]],Table57[],2,FALSE),"NO PROFILE")</f>
        <v>Normal Families</v>
      </c>
      <c r="H78">
        <v>5182.3900000000003</v>
      </c>
      <c r="I78">
        <v>538</v>
      </c>
    </row>
    <row r="79" spans="1:9" x14ac:dyDescent="0.25">
      <c r="A79" t="s">
        <v>3</v>
      </c>
      <c r="B79" t="str">
        <f>VLOOKUP(Simulated_Dept_Data[[#This Row],[DepartmentID]],Table578[],2,FALSE)</f>
        <v>Women's Jeans</v>
      </c>
      <c r="C79">
        <v>2022</v>
      </c>
      <c r="D79">
        <v>2</v>
      </c>
      <c r="E79" t="str">
        <f>VLOOKUP(Simulated_Dept_Data[[#This Row],[SegmentID]],Table5[],2,FALSE)</f>
        <v>Core Customers</v>
      </c>
      <c r="G79" t="str">
        <f>IFERROR(VLOOKUP(Simulated_Dept_Data[[#This Row],[ProfileID]],Table57[],2,FALSE),"NO PROFILE")</f>
        <v>NO PROFILE</v>
      </c>
      <c r="H79">
        <v>31260.34</v>
      </c>
      <c r="I79">
        <v>1282</v>
      </c>
    </row>
    <row r="80" spans="1:9" x14ac:dyDescent="0.25">
      <c r="A80" t="s">
        <v>3</v>
      </c>
      <c r="B80" t="str">
        <f>VLOOKUP(Simulated_Dept_Data[[#This Row],[DepartmentID]],Table578[],2,FALSE)</f>
        <v>Women's Jeans</v>
      </c>
      <c r="C80">
        <v>2022</v>
      </c>
      <c r="D80">
        <v>2</v>
      </c>
      <c r="E80" t="str">
        <f>VLOOKUP(Simulated_Dept_Data[[#This Row],[SegmentID]],Table5[],2,FALSE)</f>
        <v>Core Customers</v>
      </c>
      <c r="F80">
        <v>1</v>
      </c>
      <c r="G80" t="str">
        <f>IFERROR(VLOOKUP(Simulated_Dept_Data[[#This Row],[ProfileID]],Table57[],2,FALSE),"NO PROFILE")</f>
        <v>City Slickers</v>
      </c>
      <c r="H80">
        <v>7478.65</v>
      </c>
      <c r="I80">
        <v>627</v>
      </c>
    </row>
    <row r="81" spans="1:9" x14ac:dyDescent="0.25">
      <c r="A81" t="s">
        <v>3</v>
      </c>
      <c r="B81" t="str">
        <f>VLOOKUP(Simulated_Dept_Data[[#This Row],[DepartmentID]],Table578[],2,FALSE)</f>
        <v>Women's Jeans</v>
      </c>
      <c r="C81">
        <v>2022</v>
      </c>
      <c r="D81">
        <v>2</v>
      </c>
      <c r="E81" t="str">
        <f>VLOOKUP(Simulated_Dept_Data[[#This Row],[SegmentID]],Table5[],2,FALSE)</f>
        <v>Core Customers</v>
      </c>
      <c r="F81">
        <v>2</v>
      </c>
      <c r="G81" t="str">
        <f>IFERROR(VLOOKUP(Simulated_Dept_Data[[#This Row],[ProfileID]],Table57[],2,FALSE),"NO PROFILE")</f>
        <v>Rich &amp; Richer</v>
      </c>
      <c r="H81">
        <v>11956.73</v>
      </c>
      <c r="I81">
        <v>793</v>
      </c>
    </row>
    <row r="82" spans="1:9" x14ac:dyDescent="0.25">
      <c r="A82" t="s">
        <v>3</v>
      </c>
      <c r="B82" t="str">
        <f>VLOOKUP(Simulated_Dept_Data[[#This Row],[DepartmentID]],Table578[],2,FALSE)</f>
        <v>Women's Jeans</v>
      </c>
      <c r="C82">
        <v>2022</v>
      </c>
      <c r="D82">
        <v>2</v>
      </c>
      <c r="E82" t="str">
        <f>VLOOKUP(Simulated_Dept_Data[[#This Row],[SegmentID]],Table5[],2,FALSE)</f>
        <v>Core Customers</v>
      </c>
      <c r="F82">
        <v>3</v>
      </c>
      <c r="G82" t="str">
        <f>IFERROR(VLOOKUP(Simulated_Dept_Data[[#This Row],[ProfileID]],Table57[],2,FALSE),"NO PROFILE")</f>
        <v>Mr. &amp; Mrs. Smiths</v>
      </c>
      <c r="H82">
        <v>26169.1</v>
      </c>
      <c r="I82">
        <v>1173</v>
      </c>
    </row>
    <row r="83" spans="1:9" x14ac:dyDescent="0.25">
      <c r="A83" t="s">
        <v>3</v>
      </c>
      <c r="B83" t="str">
        <f>VLOOKUP(Simulated_Dept_Data[[#This Row],[DepartmentID]],Table578[],2,FALSE)</f>
        <v>Women's Jeans</v>
      </c>
      <c r="C83">
        <v>2022</v>
      </c>
      <c r="D83">
        <v>2</v>
      </c>
      <c r="E83" t="str">
        <f>VLOOKUP(Simulated_Dept_Data[[#This Row],[SegmentID]],Table5[],2,FALSE)</f>
        <v>Core Customers</v>
      </c>
      <c r="F83">
        <v>4</v>
      </c>
      <c r="G83" t="str">
        <f>IFERROR(VLOOKUP(Simulated_Dept_Data[[#This Row],[ProfileID]],Table57[],2,FALSE),"NO PROFILE")</f>
        <v>Blue Collar Royalty</v>
      </c>
      <c r="H83">
        <v>18.41</v>
      </c>
      <c r="I83">
        <v>31</v>
      </c>
    </row>
    <row r="84" spans="1:9" x14ac:dyDescent="0.25">
      <c r="A84" t="s">
        <v>3</v>
      </c>
      <c r="B84" t="str">
        <f>VLOOKUP(Simulated_Dept_Data[[#This Row],[DepartmentID]],Table578[],2,FALSE)</f>
        <v>Women's Jeans</v>
      </c>
      <c r="C84">
        <v>2022</v>
      </c>
      <c r="D84">
        <v>2</v>
      </c>
      <c r="E84" t="str">
        <f>VLOOKUP(Simulated_Dept_Data[[#This Row],[SegmentID]],Table5[],2,FALSE)</f>
        <v>Core Customers</v>
      </c>
      <c r="F84">
        <v>5</v>
      </c>
      <c r="G84" t="str">
        <f>IFERROR(VLOOKUP(Simulated_Dept_Data[[#This Row],[ProfileID]],Table57[],2,FALSE),"NO PROFILE")</f>
        <v>Pinched Pockets</v>
      </c>
      <c r="H84">
        <v>5435.98</v>
      </c>
      <c r="I84">
        <v>534</v>
      </c>
    </row>
    <row r="85" spans="1:9" x14ac:dyDescent="0.25">
      <c r="A85" t="s">
        <v>3</v>
      </c>
      <c r="B85" t="str">
        <f>VLOOKUP(Simulated_Dept_Data[[#This Row],[DepartmentID]],Table578[],2,FALSE)</f>
        <v>Women's Jeans</v>
      </c>
      <c r="C85">
        <v>2022</v>
      </c>
      <c r="D85">
        <v>2</v>
      </c>
      <c r="E85" t="str">
        <f>VLOOKUP(Simulated_Dept_Data[[#This Row],[SegmentID]],Table5[],2,FALSE)</f>
        <v>Core Customers</v>
      </c>
      <c r="F85">
        <v>6</v>
      </c>
      <c r="G85" t="str">
        <f>IFERROR(VLOOKUP(Simulated_Dept_Data[[#This Row],[ProfileID]],Table57[],2,FALSE),"NO PROFILE")</f>
        <v>Normal Families</v>
      </c>
      <c r="H85">
        <v>3271.79</v>
      </c>
      <c r="I85">
        <v>415</v>
      </c>
    </row>
    <row r="86" spans="1:9" x14ac:dyDescent="0.25">
      <c r="A86" t="s">
        <v>3</v>
      </c>
      <c r="B86" t="str">
        <f>VLOOKUP(Simulated_Dept_Data[[#This Row],[DepartmentID]],Table578[],2,FALSE)</f>
        <v>Women's Jeans</v>
      </c>
      <c r="C86">
        <v>2022</v>
      </c>
      <c r="D86">
        <v>3</v>
      </c>
      <c r="E86" t="str">
        <f>VLOOKUP(Simulated_Dept_Data[[#This Row],[SegmentID]],Table5[],2,FALSE)</f>
        <v>Power Shoppers</v>
      </c>
      <c r="G86" t="str">
        <f>IFERROR(VLOOKUP(Simulated_Dept_Data[[#This Row],[ProfileID]],Table57[],2,FALSE),"NO PROFILE")</f>
        <v>NO PROFILE</v>
      </c>
      <c r="H86">
        <v>4878.62</v>
      </c>
      <c r="I86">
        <v>498</v>
      </c>
    </row>
    <row r="87" spans="1:9" x14ac:dyDescent="0.25">
      <c r="A87" t="s">
        <v>3</v>
      </c>
      <c r="B87" t="str">
        <f>VLOOKUP(Simulated_Dept_Data[[#This Row],[DepartmentID]],Table578[],2,FALSE)</f>
        <v>Women's Jeans</v>
      </c>
      <c r="C87">
        <v>2022</v>
      </c>
      <c r="D87">
        <v>3</v>
      </c>
      <c r="E87" t="str">
        <f>VLOOKUP(Simulated_Dept_Data[[#This Row],[SegmentID]],Table5[],2,FALSE)</f>
        <v>Power Shoppers</v>
      </c>
      <c r="F87">
        <v>1</v>
      </c>
      <c r="G87" t="str">
        <f>IFERROR(VLOOKUP(Simulated_Dept_Data[[#This Row],[ProfileID]],Table57[],2,FALSE),"NO PROFILE")</f>
        <v>City Slickers</v>
      </c>
      <c r="H87">
        <v>23363.08</v>
      </c>
      <c r="I87">
        <v>1090</v>
      </c>
    </row>
    <row r="88" spans="1:9" x14ac:dyDescent="0.25">
      <c r="A88" t="s">
        <v>3</v>
      </c>
      <c r="B88" t="str">
        <f>VLOOKUP(Simulated_Dept_Data[[#This Row],[DepartmentID]],Table578[],2,FALSE)</f>
        <v>Women's Jeans</v>
      </c>
      <c r="C88">
        <v>2022</v>
      </c>
      <c r="D88">
        <v>3</v>
      </c>
      <c r="E88" t="str">
        <f>VLOOKUP(Simulated_Dept_Data[[#This Row],[SegmentID]],Table5[],2,FALSE)</f>
        <v>Power Shoppers</v>
      </c>
      <c r="F88">
        <v>2</v>
      </c>
      <c r="G88" t="str">
        <f>IFERROR(VLOOKUP(Simulated_Dept_Data[[#This Row],[ProfileID]],Table57[],2,FALSE),"NO PROFILE")</f>
        <v>Rich &amp; Richer</v>
      </c>
      <c r="H88">
        <v>3191.94</v>
      </c>
      <c r="I88">
        <v>403</v>
      </c>
    </row>
    <row r="89" spans="1:9" x14ac:dyDescent="0.25">
      <c r="A89" t="s">
        <v>3</v>
      </c>
      <c r="B89" t="str">
        <f>VLOOKUP(Simulated_Dept_Data[[#This Row],[DepartmentID]],Table578[],2,FALSE)</f>
        <v>Women's Jeans</v>
      </c>
      <c r="C89">
        <v>2022</v>
      </c>
      <c r="D89">
        <v>3</v>
      </c>
      <c r="E89" t="str">
        <f>VLOOKUP(Simulated_Dept_Data[[#This Row],[SegmentID]],Table5[],2,FALSE)</f>
        <v>Power Shoppers</v>
      </c>
      <c r="F89">
        <v>3</v>
      </c>
      <c r="G89" t="str">
        <f>IFERROR(VLOOKUP(Simulated_Dept_Data[[#This Row],[ProfileID]],Table57[],2,FALSE),"NO PROFILE")</f>
        <v>Mr. &amp; Mrs. Smiths</v>
      </c>
      <c r="H89">
        <v>457.57</v>
      </c>
      <c r="I89">
        <v>153</v>
      </c>
    </row>
    <row r="90" spans="1:9" x14ac:dyDescent="0.25">
      <c r="A90" t="s">
        <v>3</v>
      </c>
      <c r="B90" t="str">
        <f>VLOOKUP(Simulated_Dept_Data[[#This Row],[DepartmentID]],Table578[],2,FALSE)</f>
        <v>Women's Jeans</v>
      </c>
      <c r="C90">
        <v>2022</v>
      </c>
      <c r="D90">
        <v>3</v>
      </c>
      <c r="E90" t="str">
        <f>VLOOKUP(Simulated_Dept_Data[[#This Row],[SegmentID]],Table5[],2,FALSE)</f>
        <v>Power Shoppers</v>
      </c>
      <c r="F90">
        <v>4</v>
      </c>
      <c r="G90" t="str">
        <f>IFERROR(VLOOKUP(Simulated_Dept_Data[[#This Row],[ProfileID]],Table57[],2,FALSE),"NO PROFILE")</f>
        <v>Blue Collar Royalty</v>
      </c>
      <c r="H90">
        <v>13741.33</v>
      </c>
      <c r="I90">
        <v>836</v>
      </c>
    </row>
    <row r="91" spans="1:9" x14ac:dyDescent="0.25">
      <c r="A91" t="s">
        <v>3</v>
      </c>
      <c r="B91" t="str">
        <f>VLOOKUP(Simulated_Dept_Data[[#This Row],[DepartmentID]],Table578[],2,FALSE)</f>
        <v>Women's Jeans</v>
      </c>
      <c r="C91">
        <v>2022</v>
      </c>
      <c r="D91">
        <v>3</v>
      </c>
      <c r="E91" t="str">
        <f>VLOOKUP(Simulated_Dept_Data[[#This Row],[SegmentID]],Table5[],2,FALSE)</f>
        <v>Power Shoppers</v>
      </c>
      <c r="F91">
        <v>5</v>
      </c>
      <c r="G91" t="str">
        <f>IFERROR(VLOOKUP(Simulated_Dept_Data[[#This Row],[ProfileID]],Table57[],2,FALSE),"NO PROFILE")</f>
        <v>Pinched Pockets</v>
      </c>
      <c r="H91">
        <v>4957.71</v>
      </c>
      <c r="I91">
        <v>502</v>
      </c>
    </row>
    <row r="92" spans="1:9" x14ac:dyDescent="0.25">
      <c r="A92" t="s">
        <v>3</v>
      </c>
      <c r="B92" t="str">
        <f>VLOOKUP(Simulated_Dept_Data[[#This Row],[DepartmentID]],Table578[],2,FALSE)</f>
        <v>Women's Jeans</v>
      </c>
      <c r="C92">
        <v>2022</v>
      </c>
      <c r="D92">
        <v>3</v>
      </c>
      <c r="E92" t="str">
        <f>VLOOKUP(Simulated_Dept_Data[[#This Row],[SegmentID]],Table5[],2,FALSE)</f>
        <v>Power Shoppers</v>
      </c>
      <c r="F92">
        <v>6</v>
      </c>
      <c r="G92" t="str">
        <f>IFERROR(VLOOKUP(Simulated_Dept_Data[[#This Row],[ProfileID]],Table57[],2,FALSE),"NO PROFILE")</f>
        <v>Normal Families</v>
      </c>
      <c r="H92">
        <v>143.69</v>
      </c>
      <c r="I92">
        <v>85</v>
      </c>
    </row>
    <row r="93" spans="1:9" x14ac:dyDescent="0.25">
      <c r="A93" t="s">
        <v>3</v>
      </c>
      <c r="B93" t="str">
        <f>VLOOKUP(Simulated_Dept_Data[[#This Row],[DepartmentID]],Table578[],2,FALSE)</f>
        <v>Women's Jeans</v>
      </c>
      <c r="C93">
        <v>2022</v>
      </c>
      <c r="D93">
        <v>4</v>
      </c>
      <c r="E93" t="str">
        <f>VLOOKUP(Simulated_Dept_Data[[#This Row],[SegmentID]],Table5[],2,FALSE)</f>
        <v>Infrequent Customers</v>
      </c>
      <c r="G93" t="str">
        <f>IFERROR(VLOOKUP(Simulated_Dept_Data[[#This Row],[ProfileID]],Table57[],2,FALSE),"NO PROFILE")</f>
        <v>NO PROFILE</v>
      </c>
      <c r="H93">
        <v>7009.74</v>
      </c>
      <c r="I93">
        <v>598</v>
      </c>
    </row>
    <row r="94" spans="1:9" x14ac:dyDescent="0.25">
      <c r="A94" t="s">
        <v>3</v>
      </c>
      <c r="B94" t="str">
        <f>VLOOKUP(Simulated_Dept_Data[[#This Row],[DepartmentID]],Table578[],2,FALSE)</f>
        <v>Women's Jeans</v>
      </c>
      <c r="C94">
        <v>2022</v>
      </c>
      <c r="D94">
        <v>4</v>
      </c>
      <c r="E94" t="str">
        <f>VLOOKUP(Simulated_Dept_Data[[#This Row],[SegmentID]],Table5[],2,FALSE)</f>
        <v>Infrequent Customers</v>
      </c>
      <c r="F94">
        <v>1</v>
      </c>
      <c r="G94" t="str">
        <f>IFERROR(VLOOKUP(Simulated_Dept_Data[[#This Row],[ProfileID]],Table57[],2,FALSE),"NO PROFILE")</f>
        <v>City Slickers</v>
      </c>
      <c r="H94">
        <v>28195.79</v>
      </c>
      <c r="I94">
        <v>1199</v>
      </c>
    </row>
    <row r="95" spans="1:9" x14ac:dyDescent="0.25">
      <c r="A95" t="s">
        <v>3</v>
      </c>
      <c r="B95" t="str">
        <f>VLOOKUP(Simulated_Dept_Data[[#This Row],[DepartmentID]],Table578[],2,FALSE)</f>
        <v>Women's Jeans</v>
      </c>
      <c r="C95">
        <v>2022</v>
      </c>
      <c r="D95">
        <v>4</v>
      </c>
      <c r="E95" t="str">
        <f>VLOOKUP(Simulated_Dept_Data[[#This Row],[SegmentID]],Table5[],2,FALSE)</f>
        <v>Infrequent Customers</v>
      </c>
      <c r="F95">
        <v>2</v>
      </c>
      <c r="G95" t="str">
        <f>IFERROR(VLOOKUP(Simulated_Dept_Data[[#This Row],[ProfileID]],Table57[],2,FALSE),"NO PROFILE")</f>
        <v>Rich &amp; Richer</v>
      </c>
      <c r="H95">
        <v>657.7</v>
      </c>
      <c r="I95">
        <v>183</v>
      </c>
    </row>
    <row r="96" spans="1:9" x14ac:dyDescent="0.25">
      <c r="A96" t="s">
        <v>3</v>
      </c>
      <c r="B96" t="str">
        <f>VLOOKUP(Simulated_Dept_Data[[#This Row],[DepartmentID]],Table578[],2,FALSE)</f>
        <v>Women's Jeans</v>
      </c>
      <c r="C96">
        <v>2022</v>
      </c>
      <c r="D96">
        <v>4</v>
      </c>
      <c r="E96" t="str">
        <f>VLOOKUP(Simulated_Dept_Data[[#This Row],[SegmentID]],Table5[],2,FALSE)</f>
        <v>Infrequent Customers</v>
      </c>
      <c r="F96">
        <v>3</v>
      </c>
      <c r="G96" t="str">
        <f>IFERROR(VLOOKUP(Simulated_Dept_Data[[#This Row],[ProfileID]],Table57[],2,FALSE),"NO PROFILE")</f>
        <v>Mr. &amp; Mrs. Smiths</v>
      </c>
      <c r="H96">
        <v>5561.14</v>
      </c>
      <c r="I96">
        <v>533</v>
      </c>
    </row>
    <row r="97" spans="1:9" x14ac:dyDescent="0.25">
      <c r="A97" t="s">
        <v>3</v>
      </c>
      <c r="B97" t="str">
        <f>VLOOKUP(Simulated_Dept_Data[[#This Row],[DepartmentID]],Table578[],2,FALSE)</f>
        <v>Women's Jeans</v>
      </c>
      <c r="C97">
        <v>2022</v>
      </c>
      <c r="D97">
        <v>4</v>
      </c>
      <c r="E97" t="str">
        <f>VLOOKUP(Simulated_Dept_Data[[#This Row],[SegmentID]],Table5[],2,FALSE)</f>
        <v>Infrequent Customers</v>
      </c>
      <c r="F97">
        <v>4</v>
      </c>
      <c r="G97" t="str">
        <f>IFERROR(VLOOKUP(Simulated_Dept_Data[[#This Row],[ProfileID]],Table57[],2,FALSE),"NO PROFILE")</f>
        <v>Blue Collar Royalty</v>
      </c>
      <c r="H97">
        <v>26291.18</v>
      </c>
      <c r="I97">
        <v>1158</v>
      </c>
    </row>
    <row r="98" spans="1:9" x14ac:dyDescent="0.25">
      <c r="A98" t="s">
        <v>3</v>
      </c>
      <c r="B98" t="str">
        <f>VLOOKUP(Simulated_Dept_Data[[#This Row],[DepartmentID]],Table578[],2,FALSE)</f>
        <v>Women's Jeans</v>
      </c>
      <c r="C98">
        <v>2022</v>
      </c>
      <c r="D98">
        <v>4</v>
      </c>
      <c r="E98" t="str">
        <f>VLOOKUP(Simulated_Dept_Data[[#This Row],[SegmentID]],Table5[],2,FALSE)</f>
        <v>Infrequent Customers</v>
      </c>
      <c r="F98">
        <v>5</v>
      </c>
      <c r="G98" t="str">
        <f>IFERROR(VLOOKUP(Simulated_Dept_Data[[#This Row],[ProfileID]],Table57[],2,FALSE),"NO PROFILE")</f>
        <v>Pinched Pockets</v>
      </c>
      <c r="H98">
        <v>55.97</v>
      </c>
      <c r="I98">
        <v>53</v>
      </c>
    </row>
    <row r="99" spans="1:9" x14ac:dyDescent="0.25">
      <c r="A99" t="s">
        <v>3</v>
      </c>
      <c r="B99" t="str">
        <f>VLOOKUP(Simulated_Dept_Data[[#This Row],[DepartmentID]],Table578[],2,FALSE)</f>
        <v>Women's Jeans</v>
      </c>
      <c r="C99">
        <v>2022</v>
      </c>
      <c r="D99">
        <v>4</v>
      </c>
      <c r="E99" t="str">
        <f>VLOOKUP(Simulated_Dept_Data[[#This Row],[SegmentID]],Table5[],2,FALSE)</f>
        <v>Infrequent Customers</v>
      </c>
      <c r="F99">
        <v>6</v>
      </c>
      <c r="G99" t="str">
        <f>IFERROR(VLOOKUP(Simulated_Dept_Data[[#This Row],[ProfileID]],Table57[],2,FALSE),"NO PROFILE")</f>
        <v>Normal Families</v>
      </c>
      <c r="H99">
        <v>2826.76</v>
      </c>
      <c r="I99">
        <v>380</v>
      </c>
    </row>
    <row r="100" spans="1:9" x14ac:dyDescent="0.25">
      <c r="A100" t="s">
        <v>3</v>
      </c>
      <c r="B100" t="str">
        <f>VLOOKUP(Simulated_Dept_Data[[#This Row],[DepartmentID]],Table578[],2,FALSE)</f>
        <v>Women's Jeans</v>
      </c>
      <c r="C100">
        <v>2022</v>
      </c>
      <c r="D100">
        <v>5</v>
      </c>
      <c r="E100" t="str">
        <f>VLOOKUP(Simulated_Dept_Data[[#This Row],[SegmentID]],Table5[],2,FALSE)</f>
        <v>New Customers</v>
      </c>
      <c r="G100" t="str">
        <f>IFERROR(VLOOKUP(Simulated_Dept_Data[[#This Row],[ProfileID]],Table57[],2,FALSE),"NO PROFILE")</f>
        <v>NO PROFILE</v>
      </c>
      <c r="H100">
        <v>29342.75</v>
      </c>
      <c r="I100">
        <v>1193</v>
      </c>
    </row>
    <row r="101" spans="1:9" x14ac:dyDescent="0.25">
      <c r="A101" t="s">
        <v>3</v>
      </c>
      <c r="B101" t="str">
        <f>VLOOKUP(Simulated_Dept_Data[[#This Row],[DepartmentID]],Table578[],2,FALSE)</f>
        <v>Women's Jeans</v>
      </c>
      <c r="C101">
        <v>2022</v>
      </c>
      <c r="D101">
        <v>5</v>
      </c>
      <c r="E101" t="str">
        <f>VLOOKUP(Simulated_Dept_Data[[#This Row],[SegmentID]],Table5[],2,FALSE)</f>
        <v>New Customers</v>
      </c>
      <c r="F101">
        <v>1</v>
      </c>
      <c r="G101" t="str">
        <f>IFERROR(VLOOKUP(Simulated_Dept_Data[[#This Row],[ProfileID]],Table57[],2,FALSE),"NO PROFILE")</f>
        <v>City Slickers</v>
      </c>
      <c r="H101">
        <v>9894.89</v>
      </c>
      <c r="I101">
        <v>693</v>
      </c>
    </row>
    <row r="102" spans="1:9" x14ac:dyDescent="0.25">
      <c r="A102" t="s">
        <v>3</v>
      </c>
      <c r="B102" t="str">
        <f>VLOOKUP(Simulated_Dept_Data[[#This Row],[DepartmentID]],Table578[],2,FALSE)</f>
        <v>Women's Jeans</v>
      </c>
      <c r="C102">
        <v>2022</v>
      </c>
      <c r="D102">
        <v>5</v>
      </c>
      <c r="E102" t="str">
        <f>VLOOKUP(Simulated_Dept_Data[[#This Row],[SegmentID]],Table5[],2,FALSE)</f>
        <v>New Customers</v>
      </c>
      <c r="F102">
        <v>2</v>
      </c>
      <c r="G102" t="str">
        <f>IFERROR(VLOOKUP(Simulated_Dept_Data[[#This Row],[ProfileID]],Table57[],2,FALSE),"NO PROFILE")</f>
        <v>Rich &amp; Richer</v>
      </c>
      <c r="H102">
        <v>21266.92</v>
      </c>
      <c r="I102">
        <v>1016</v>
      </c>
    </row>
    <row r="103" spans="1:9" x14ac:dyDescent="0.25">
      <c r="A103" t="s">
        <v>3</v>
      </c>
      <c r="B103" t="str">
        <f>VLOOKUP(Simulated_Dept_Data[[#This Row],[DepartmentID]],Table578[],2,FALSE)</f>
        <v>Women's Jeans</v>
      </c>
      <c r="C103">
        <v>2022</v>
      </c>
      <c r="D103">
        <v>5</v>
      </c>
      <c r="E103" t="str">
        <f>VLOOKUP(Simulated_Dept_Data[[#This Row],[SegmentID]],Table5[],2,FALSE)</f>
        <v>New Customers</v>
      </c>
      <c r="F103">
        <v>3</v>
      </c>
      <c r="G103" t="str">
        <f>IFERROR(VLOOKUP(Simulated_Dept_Data[[#This Row],[ProfileID]],Table57[],2,FALSE),"NO PROFILE")</f>
        <v>Mr. &amp; Mrs. Smiths</v>
      </c>
      <c r="H103">
        <v>32533.02</v>
      </c>
      <c r="I103">
        <v>1256</v>
      </c>
    </row>
    <row r="104" spans="1:9" x14ac:dyDescent="0.25">
      <c r="A104" t="s">
        <v>3</v>
      </c>
      <c r="B104" t="str">
        <f>VLOOKUP(Simulated_Dept_Data[[#This Row],[DepartmentID]],Table578[],2,FALSE)</f>
        <v>Women's Jeans</v>
      </c>
      <c r="C104">
        <v>2022</v>
      </c>
      <c r="D104">
        <v>5</v>
      </c>
      <c r="E104" t="str">
        <f>VLOOKUP(Simulated_Dept_Data[[#This Row],[SegmentID]],Table5[],2,FALSE)</f>
        <v>New Customers</v>
      </c>
      <c r="F104">
        <v>4</v>
      </c>
      <c r="G104" t="str">
        <f>IFERROR(VLOOKUP(Simulated_Dept_Data[[#This Row],[ProfileID]],Table57[],2,FALSE),"NO PROFILE")</f>
        <v>Blue Collar Royalty</v>
      </c>
      <c r="H104">
        <v>40.549999999999997</v>
      </c>
      <c r="I104">
        <v>44</v>
      </c>
    </row>
    <row r="105" spans="1:9" x14ac:dyDescent="0.25">
      <c r="A105" t="s">
        <v>3</v>
      </c>
      <c r="B105" t="str">
        <f>VLOOKUP(Simulated_Dept_Data[[#This Row],[DepartmentID]],Table578[],2,FALSE)</f>
        <v>Women's Jeans</v>
      </c>
      <c r="C105">
        <v>2022</v>
      </c>
      <c r="D105">
        <v>5</v>
      </c>
      <c r="E105" t="str">
        <f>VLOOKUP(Simulated_Dept_Data[[#This Row],[SegmentID]],Table5[],2,FALSE)</f>
        <v>New Customers</v>
      </c>
      <c r="F105">
        <v>5</v>
      </c>
      <c r="G105" t="str">
        <f>IFERROR(VLOOKUP(Simulated_Dept_Data[[#This Row],[ProfileID]],Table57[],2,FALSE),"NO PROFILE")</f>
        <v>Pinched Pockets</v>
      </c>
      <c r="H105">
        <v>49.45</v>
      </c>
      <c r="I105">
        <v>49</v>
      </c>
    </row>
    <row r="106" spans="1:9" x14ac:dyDescent="0.25">
      <c r="A106" t="s">
        <v>3</v>
      </c>
      <c r="B106" t="str">
        <f>VLOOKUP(Simulated_Dept_Data[[#This Row],[DepartmentID]],Table578[],2,FALSE)</f>
        <v>Women's Jeans</v>
      </c>
      <c r="C106">
        <v>2022</v>
      </c>
      <c r="D106">
        <v>5</v>
      </c>
      <c r="E106" t="str">
        <f>VLOOKUP(Simulated_Dept_Data[[#This Row],[SegmentID]],Table5[],2,FALSE)</f>
        <v>New Customers</v>
      </c>
      <c r="F106">
        <v>6</v>
      </c>
      <c r="G106" t="str">
        <f>IFERROR(VLOOKUP(Simulated_Dept_Data[[#This Row],[ProfileID]],Table57[],2,FALSE),"NO PROFILE")</f>
        <v>Normal Families</v>
      </c>
      <c r="H106">
        <v>247.01</v>
      </c>
      <c r="I106">
        <v>109</v>
      </c>
    </row>
    <row r="107" spans="1:9" x14ac:dyDescent="0.25">
      <c r="A107" t="s">
        <v>3</v>
      </c>
      <c r="B107" t="str">
        <f>VLOOKUP(Simulated_Dept_Data[[#This Row],[DepartmentID]],Table578[],2,FALSE)</f>
        <v>Women's Jeans</v>
      </c>
      <c r="C107">
        <v>2023</v>
      </c>
      <c r="D107">
        <v>1</v>
      </c>
      <c r="E107" t="str">
        <f>VLOOKUP(Simulated_Dept_Data[[#This Row],[SegmentID]],Table5[],2,FALSE)</f>
        <v>Elite Customers</v>
      </c>
      <c r="G107" t="str">
        <f>IFERROR(VLOOKUP(Simulated_Dept_Data[[#This Row],[ProfileID]],Table57[],2,FALSE),"NO PROFILE")</f>
        <v>NO PROFILE</v>
      </c>
      <c r="H107">
        <v>6110.94</v>
      </c>
      <c r="I107">
        <v>509</v>
      </c>
    </row>
    <row r="108" spans="1:9" x14ac:dyDescent="0.25">
      <c r="A108" t="s">
        <v>3</v>
      </c>
      <c r="B108" t="str">
        <f>VLOOKUP(Simulated_Dept_Data[[#This Row],[DepartmentID]],Table578[],2,FALSE)</f>
        <v>Women's Jeans</v>
      </c>
      <c r="C108">
        <v>2023</v>
      </c>
      <c r="D108">
        <v>1</v>
      </c>
      <c r="E108" t="str">
        <f>VLOOKUP(Simulated_Dept_Data[[#This Row],[SegmentID]],Table5[],2,FALSE)</f>
        <v>Elite Customers</v>
      </c>
      <c r="F108">
        <v>1</v>
      </c>
      <c r="G108" t="str">
        <f>IFERROR(VLOOKUP(Simulated_Dept_Data[[#This Row],[ProfileID]],Table57[],2,FALSE),"NO PROFILE")</f>
        <v>City Slickers</v>
      </c>
      <c r="H108">
        <v>19257.240000000002</v>
      </c>
      <c r="I108">
        <v>903</v>
      </c>
    </row>
    <row r="109" spans="1:9" x14ac:dyDescent="0.25">
      <c r="A109" t="s">
        <v>3</v>
      </c>
      <c r="B109" t="str">
        <f>VLOOKUP(Simulated_Dept_Data[[#This Row],[DepartmentID]],Table578[],2,FALSE)</f>
        <v>Women's Jeans</v>
      </c>
      <c r="C109">
        <v>2023</v>
      </c>
      <c r="D109">
        <v>1</v>
      </c>
      <c r="E109" t="str">
        <f>VLOOKUP(Simulated_Dept_Data[[#This Row],[SegmentID]],Table5[],2,FALSE)</f>
        <v>Elite Customers</v>
      </c>
      <c r="F109">
        <v>2</v>
      </c>
      <c r="G109" t="str">
        <f>IFERROR(VLOOKUP(Simulated_Dept_Data[[#This Row],[ProfileID]],Table57[],2,FALSE),"NO PROFILE")</f>
        <v>Rich &amp; Richer</v>
      </c>
      <c r="H109">
        <v>21900.799999999999</v>
      </c>
      <c r="I109">
        <v>963</v>
      </c>
    </row>
    <row r="110" spans="1:9" x14ac:dyDescent="0.25">
      <c r="A110" t="s">
        <v>3</v>
      </c>
      <c r="B110" t="str">
        <f>VLOOKUP(Simulated_Dept_Data[[#This Row],[DepartmentID]],Table578[],2,FALSE)</f>
        <v>Women's Jeans</v>
      </c>
      <c r="C110">
        <v>2023</v>
      </c>
      <c r="D110">
        <v>1</v>
      </c>
      <c r="E110" t="str">
        <f>VLOOKUP(Simulated_Dept_Data[[#This Row],[SegmentID]],Table5[],2,FALSE)</f>
        <v>Elite Customers</v>
      </c>
      <c r="F110">
        <v>3</v>
      </c>
      <c r="G110" t="str">
        <f>IFERROR(VLOOKUP(Simulated_Dept_Data[[#This Row],[ProfileID]],Table57[],2,FALSE),"NO PROFILE")</f>
        <v>Mr. &amp; Mrs. Smiths</v>
      </c>
      <c r="H110">
        <v>22400.95</v>
      </c>
      <c r="I110">
        <v>974</v>
      </c>
    </row>
    <row r="111" spans="1:9" x14ac:dyDescent="0.25">
      <c r="A111" t="s">
        <v>3</v>
      </c>
      <c r="B111" t="str">
        <f>VLOOKUP(Simulated_Dept_Data[[#This Row],[DepartmentID]],Table578[],2,FALSE)</f>
        <v>Women's Jeans</v>
      </c>
      <c r="C111">
        <v>2023</v>
      </c>
      <c r="D111">
        <v>1</v>
      </c>
      <c r="E111" t="str">
        <f>VLOOKUP(Simulated_Dept_Data[[#This Row],[SegmentID]],Table5[],2,FALSE)</f>
        <v>Elite Customers</v>
      </c>
      <c r="F111">
        <v>4</v>
      </c>
      <c r="G111" t="str">
        <f>IFERROR(VLOOKUP(Simulated_Dept_Data[[#This Row],[ProfileID]],Table57[],2,FALSE),"NO PROFILE")</f>
        <v>Blue Collar Royalty</v>
      </c>
      <c r="H111">
        <v>6129.43</v>
      </c>
      <c r="I111">
        <v>510</v>
      </c>
    </row>
    <row r="112" spans="1:9" x14ac:dyDescent="0.25">
      <c r="A112" t="s">
        <v>3</v>
      </c>
      <c r="B112" t="str">
        <f>VLOOKUP(Simulated_Dept_Data[[#This Row],[DepartmentID]],Table578[],2,FALSE)</f>
        <v>Women's Jeans</v>
      </c>
      <c r="C112">
        <v>2023</v>
      </c>
      <c r="D112">
        <v>1</v>
      </c>
      <c r="E112" t="str">
        <f>VLOOKUP(Simulated_Dept_Data[[#This Row],[SegmentID]],Table5[],2,FALSE)</f>
        <v>Elite Customers</v>
      </c>
      <c r="F112">
        <v>5</v>
      </c>
      <c r="G112" t="str">
        <f>IFERROR(VLOOKUP(Simulated_Dept_Data[[#This Row],[ProfileID]],Table57[],2,FALSE),"NO PROFILE")</f>
        <v>Pinched Pockets</v>
      </c>
      <c r="H112">
        <v>29681.1</v>
      </c>
      <c r="I112">
        <v>1121</v>
      </c>
    </row>
    <row r="113" spans="1:9" x14ac:dyDescent="0.25">
      <c r="A113" t="s">
        <v>3</v>
      </c>
      <c r="B113" t="str">
        <f>VLOOKUP(Simulated_Dept_Data[[#This Row],[DepartmentID]],Table578[],2,FALSE)</f>
        <v>Women's Jeans</v>
      </c>
      <c r="C113">
        <v>2023</v>
      </c>
      <c r="D113">
        <v>1</v>
      </c>
      <c r="E113" t="str">
        <f>VLOOKUP(Simulated_Dept_Data[[#This Row],[SegmentID]],Table5[],2,FALSE)</f>
        <v>Elite Customers</v>
      </c>
      <c r="F113">
        <v>6</v>
      </c>
      <c r="G113" t="str">
        <f>IFERROR(VLOOKUP(Simulated_Dept_Data[[#This Row],[ProfileID]],Table57[],2,FALSE),"NO PROFILE")</f>
        <v>Normal Families</v>
      </c>
      <c r="H113">
        <v>4663.24</v>
      </c>
      <c r="I113">
        <v>444</v>
      </c>
    </row>
    <row r="114" spans="1:9" x14ac:dyDescent="0.25">
      <c r="A114" t="s">
        <v>3</v>
      </c>
      <c r="B114" t="str">
        <f>VLOOKUP(Simulated_Dept_Data[[#This Row],[DepartmentID]],Table578[],2,FALSE)</f>
        <v>Women's Jeans</v>
      </c>
      <c r="C114">
        <v>2023</v>
      </c>
      <c r="D114">
        <v>2</v>
      </c>
      <c r="E114" t="str">
        <f>VLOOKUP(Simulated_Dept_Data[[#This Row],[SegmentID]],Table5[],2,FALSE)</f>
        <v>Core Customers</v>
      </c>
      <c r="G114" t="str">
        <f>IFERROR(VLOOKUP(Simulated_Dept_Data[[#This Row],[ProfileID]],Table57[],2,FALSE),"NO PROFILE")</f>
        <v>NO PROFILE</v>
      </c>
      <c r="H114">
        <v>23374.21</v>
      </c>
      <c r="I114">
        <v>1126</v>
      </c>
    </row>
    <row r="115" spans="1:9" x14ac:dyDescent="0.25">
      <c r="A115" t="s">
        <v>3</v>
      </c>
      <c r="B115" t="str">
        <f>VLOOKUP(Simulated_Dept_Data[[#This Row],[DepartmentID]],Table578[],2,FALSE)</f>
        <v>Women's Jeans</v>
      </c>
      <c r="C115">
        <v>2023</v>
      </c>
      <c r="D115">
        <v>2</v>
      </c>
      <c r="E115" t="str">
        <f>VLOOKUP(Simulated_Dept_Data[[#This Row],[SegmentID]],Table5[],2,FALSE)</f>
        <v>Core Customers</v>
      </c>
      <c r="F115">
        <v>1</v>
      </c>
      <c r="G115" t="str">
        <f>IFERROR(VLOOKUP(Simulated_Dept_Data[[#This Row],[ProfileID]],Table57[],2,FALSE),"NO PROFILE")</f>
        <v>City Slickers</v>
      </c>
      <c r="H115">
        <v>5591.99</v>
      </c>
      <c r="I115">
        <v>551</v>
      </c>
    </row>
    <row r="116" spans="1:9" x14ac:dyDescent="0.25">
      <c r="A116" t="s">
        <v>3</v>
      </c>
      <c r="B116" t="str">
        <f>VLOOKUP(Simulated_Dept_Data[[#This Row],[DepartmentID]],Table578[],2,FALSE)</f>
        <v>Women's Jeans</v>
      </c>
      <c r="C116">
        <v>2023</v>
      </c>
      <c r="D116">
        <v>2</v>
      </c>
      <c r="E116" t="str">
        <f>VLOOKUP(Simulated_Dept_Data[[#This Row],[SegmentID]],Table5[],2,FALSE)</f>
        <v>Core Customers</v>
      </c>
      <c r="F116">
        <v>2</v>
      </c>
      <c r="G116" t="str">
        <f>IFERROR(VLOOKUP(Simulated_Dept_Data[[#This Row],[ProfileID]],Table57[],2,FALSE),"NO PROFILE")</f>
        <v>Rich &amp; Richer</v>
      </c>
      <c r="H116">
        <v>8940.3700000000008</v>
      </c>
      <c r="I116">
        <v>696</v>
      </c>
    </row>
    <row r="117" spans="1:9" x14ac:dyDescent="0.25">
      <c r="A117" t="s">
        <v>3</v>
      </c>
      <c r="B117" t="str">
        <f>VLOOKUP(Simulated_Dept_Data[[#This Row],[DepartmentID]],Table578[],2,FALSE)</f>
        <v>Women's Jeans</v>
      </c>
      <c r="C117">
        <v>2023</v>
      </c>
      <c r="D117">
        <v>2</v>
      </c>
      <c r="E117" t="str">
        <f>VLOOKUP(Simulated_Dept_Data[[#This Row],[SegmentID]],Table5[],2,FALSE)</f>
        <v>Core Customers</v>
      </c>
      <c r="F117">
        <v>3</v>
      </c>
      <c r="G117" t="str">
        <f>IFERROR(VLOOKUP(Simulated_Dept_Data[[#This Row],[ProfileID]],Table57[],2,FALSE),"NO PROFILE")</f>
        <v>Mr. &amp; Mrs. Smiths</v>
      </c>
      <c r="H117">
        <v>19567.349999999999</v>
      </c>
      <c r="I117">
        <v>1030</v>
      </c>
    </row>
    <row r="118" spans="1:9" x14ac:dyDescent="0.25">
      <c r="A118" t="s">
        <v>3</v>
      </c>
      <c r="B118" t="str">
        <f>VLOOKUP(Simulated_Dept_Data[[#This Row],[DepartmentID]],Table578[],2,FALSE)</f>
        <v>Women's Jeans</v>
      </c>
      <c r="C118">
        <v>2023</v>
      </c>
      <c r="D118">
        <v>2</v>
      </c>
      <c r="E118" t="str">
        <f>VLOOKUP(Simulated_Dept_Data[[#This Row],[SegmentID]],Table5[],2,FALSE)</f>
        <v>Core Customers</v>
      </c>
      <c r="F118">
        <v>4</v>
      </c>
      <c r="G118" t="str">
        <f>IFERROR(VLOOKUP(Simulated_Dept_Data[[#This Row],[ProfileID]],Table57[],2,FALSE),"NO PROFILE")</f>
        <v>Blue Collar Royalty</v>
      </c>
      <c r="H118">
        <v>13.76</v>
      </c>
      <c r="I118">
        <v>27</v>
      </c>
    </row>
    <row r="119" spans="1:9" x14ac:dyDescent="0.25">
      <c r="A119" t="s">
        <v>3</v>
      </c>
      <c r="B119" t="str">
        <f>VLOOKUP(Simulated_Dept_Data[[#This Row],[DepartmentID]],Table578[],2,FALSE)</f>
        <v>Women's Jeans</v>
      </c>
      <c r="C119">
        <v>2023</v>
      </c>
      <c r="D119">
        <v>2</v>
      </c>
      <c r="E119" t="str">
        <f>VLOOKUP(Simulated_Dept_Data[[#This Row],[SegmentID]],Table5[],2,FALSE)</f>
        <v>Core Customers</v>
      </c>
      <c r="F119">
        <v>5</v>
      </c>
      <c r="G119" t="str">
        <f>IFERROR(VLOOKUP(Simulated_Dept_Data[[#This Row],[ProfileID]],Table57[],2,FALSE),"NO PROFILE")</f>
        <v>Pinched Pockets</v>
      </c>
      <c r="H119">
        <v>4064.63</v>
      </c>
      <c r="I119">
        <v>469</v>
      </c>
    </row>
    <row r="120" spans="1:9" x14ac:dyDescent="0.25">
      <c r="A120" t="s">
        <v>3</v>
      </c>
      <c r="B120" t="str">
        <f>VLOOKUP(Simulated_Dept_Data[[#This Row],[DepartmentID]],Table578[],2,FALSE)</f>
        <v>Women's Jeans</v>
      </c>
      <c r="C120">
        <v>2023</v>
      </c>
      <c r="D120">
        <v>2</v>
      </c>
      <c r="E120" t="str">
        <f>VLOOKUP(Simulated_Dept_Data[[#This Row],[SegmentID]],Table5[],2,FALSE)</f>
        <v>Core Customers</v>
      </c>
      <c r="F120">
        <v>6</v>
      </c>
      <c r="G120" t="str">
        <f>IFERROR(VLOOKUP(Simulated_Dept_Data[[#This Row],[ProfileID]],Table57[],2,FALSE),"NO PROFILE")</f>
        <v>Normal Families</v>
      </c>
      <c r="H120">
        <v>2446.41</v>
      </c>
      <c r="I120">
        <v>364</v>
      </c>
    </row>
    <row r="121" spans="1:9" x14ac:dyDescent="0.25">
      <c r="A121" t="s">
        <v>3</v>
      </c>
      <c r="B121" t="str">
        <f>VLOOKUP(Simulated_Dept_Data[[#This Row],[DepartmentID]],Table578[],2,FALSE)</f>
        <v>Women's Jeans</v>
      </c>
      <c r="C121">
        <v>2023</v>
      </c>
      <c r="D121">
        <v>3</v>
      </c>
      <c r="E121" t="str">
        <f>VLOOKUP(Simulated_Dept_Data[[#This Row],[SegmentID]],Table5[],2,FALSE)</f>
        <v>Power Shoppers</v>
      </c>
      <c r="G121" t="str">
        <f>IFERROR(VLOOKUP(Simulated_Dept_Data[[#This Row],[ProfileID]],Table57[],2,FALSE),"NO PROFILE")</f>
        <v>NO PROFILE</v>
      </c>
      <c r="H121">
        <v>3795.36</v>
      </c>
      <c r="I121">
        <v>453</v>
      </c>
    </row>
    <row r="122" spans="1:9" x14ac:dyDescent="0.25">
      <c r="A122" t="s">
        <v>3</v>
      </c>
      <c r="B122" t="str">
        <f>VLOOKUP(Simulated_Dept_Data[[#This Row],[DepartmentID]],Table578[],2,FALSE)</f>
        <v>Women's Jeans</v>
      </c>
      <c r="C122">
        <v>2023</v>
      </c>
      <c r="D122">
        <v>3</v>
      </c>
      <c r="E122" t="str">
        <f>VLOOKUP(Simulated_Dept_Data[[#This Row],[SegmentID]],Table5[],2,FALSE)</f>
        <v>Power Shoppers</v>
      </c>
      <c r="F122">
        <v>1</v>
      </c>
      <c r="G122" t="str">
        <f>IFERROR(VLOOKUP(Simulated_Dept_Data[[#This Row],[ProfileID]],Table57[],2,FALSE),"NO PROFILE")</f>
        <v>City Slickers</v>
      </c>
      <c r="H122">
        <v>18175.48</v>
      </c>
      <c r="I122">
        <v>992</v>
      </c>
    </row>
    <row r="123" spans="1:9" x14ac:dyDescent="0.25">
      <c r="A123" t="s">
        <v>3</v>
      </c>
      <c r="B123" t="str">
        <f>VLOOKUP(Simulated_Dept_Data[[#This Row],[DepartmentID]],Table578[],2,FALSE)</f>
        <v>Women's Jeans</v>
      </c>
      <c r="C123">
        <v>2023</v>
      </c>
      <c r="D123">
        <v>3</v>
      </c>
      <c r="E123" t="str">
        <f>VLOOKUP(Simulated_Dept_Data[[#This Row],[SegmentID]],Table5[],2,FALSE)</f>
        <v>Power Shoppers</v>
      </c>
      <c r="F123">
        <v>2</v>
      </c>
      <c r="G123" t="str">
        <f>IFERROR(VLOOKUP(Simulated_Dept_Data[[#This Row],[ProfileID]],Table57[],2,FALSE),"NO PROFILE")</f>
        <v>Rich &amp; Richer</v>
      </c>
      <c r="H123">
        <v>2483.19</v>
      </c>
      <c r="I123">
        <v>367</v>
      </c>
    </row>
    <row r="124" spans="1:9" x14ac:dyDescent="0.25">
      <c r="A124" t="s">
        <v>3</v>
      </c>
      <c r="B124" t="str">
        <f>VLOOKUP(Simulated_Dept_Data[[#This Row],[DepartmentID]],Table578[],2,FALSE)</f>
        <v>Women's Jeans</v>
      </c>
      <c r="C124">
        <v>2023</v>
      </c>
      <c r="D124">
        <v>3</v>
      </c>
      <c r="E124" t="str">
        <f>VLOOKUP(Simulated_Dept_Data[[#This Row],[SegmentID]],Table5[],2,FALSE)</f>
        <v>Power Shoppers</v>
      </c>
      <c r="F124">
        <v>3</v>
      </c>
      <c r="G124" t="str">
        <f>IFERROR(VLOOKUP(Simulated_Dept_Data[[#This Row],[ProfileID]],Table57[],2,FALSE),"NO PROFILE")</f>
        <v>Mr. &amp; Mrs. Smiths</v>
      </c>
      <c r="H124">
        <v>355.97</v>
      </c>
      <c r="I124">
        <v>139</v>
      </c>
    </row>
    <row r="125" spans="1:9" x14ac:dyDescent="0.25">
      <c r="A125" t="s">
        <v>3</v>
      </c>
      <c r="B125" t="str">
        <f>VLOOKUP(Simulated_Dept_Data[[#This Row],[DepartmentID]],Table578[],2,FALSE)</f>
        <v>Women's Jeans</v>
      </c>
      <c r="C125">
        <v>2023</v>
      </c>
      <c r="D125">
        <v>3</v>
      </c>
      <c r="E125" t="str">
        <f>VLOOKUP(Simulated_Dept_Data[[#This Row],[SegmentID]],Table5[],2,FALSE)</f>
        <v>Power Shoppers</v>
      </c>
      <c r="F125">
        <v>4</v>
      </c>
      <c r="G125" t="str">
        <f>IFERROR(VLOOKUP(Simulated_Dept_Data[[#This Row],[ProfileID]],Table57[],2,FALSE),"NO PROFILE")</f>
        <v>Blue Collar Royalty</v>
      </c>
      <c r="H125">
        <v>10690.17</v>
      </c>
      <c r="I125">
        <v>761</v>
      </c>
    </row>
    <row r="126" spans="1:9" x14ac:dyDescent="0.25">
      <c r="A126" t="s">
        <v>3</v>
      </c>
      <c r="B126" t="str">
        <f>VLOOKUP(Simulated_Dept_Data[[#This Row],[DepartmentID]],Table578[],2,FALSE)</f>
        <v>Women's Jeans</v>
      </c>
      <c r="C126">
        <v>2023</v>
      </c>
      <c r="D126">
        <v>3</v>
      </c>
      <c r="E126" t="str">
        <f>VLOOKUP(Simulated_Dept_Data[[#This Row],[SegmentID]],Table5[],2,FALSE)</f>
        <v>Power Shoppers</v>
      </c>
      <c r="F126">
        <v>5</v>
      </c>
      <c r="G126" t="str">
        <f>IFERROR(VLOOKUP(Simulated_Dept_Data[[#This Row],[ProfileID]],Table57[],2,FALSE),"NO PROFILE")</f>
        <v>Pinched Pockets</v>
      </c>
      <c r="H126">
        <v>3856.89</v>
      </c>
      <c r="I126">
        <v>457</v>
      </c>
    </row>
    <row r="127" spans="1:9" x14ac:dyDescent="0.25">
      <c r="A127" t="s">
        <v>3</v>
      </c>
      <c r="B127" t="str">
        <f>VLOOKUP(Simulated_Dept_Data[[#This Row],[DepartmentID]],Table578[],2,FALSE)</f>
        <v>Women's Jeans</v>
      </c>
      <c r="C127">
        <v>2023</v>
      </c>
      <c r="D127">
        <v>3</v>
      </c>
      <c r="E127" t="str">
        <f>VLOOKUP(Simulated_Dept_Data[[#This Row],[SegmentID]],Table5[],2,FALSE)</f>
        <v>Power Shoppers</v>
      </c>
      <c r="F127">
        <v>6</v>
      </c>
      <c r="G127" t="str">
        <f>IFERROR(VLOOKUP(Simulated_Dept_Data[[#This Row],[ProfileID]],Table57[],2,FALSE),"NO PROFILE")</f>
        <v>Normal Families</v>
      </c>
      <c r="H127">
        <v>111.78</v>
      </c>
      <c r="I127">
        <v>78</v>
      </c>
    </row>
    <row r="128" spans="1:9" x14ac:dyDescent="0.25">
      <c r="A128" t="s">
        <v>3</v>
      </c>
      <c r="B128" t="str">
        <f>VLOOKUP(Simulated_Dept_Data[[#This Row],[DepartmentID]],Table578[],2,FALSE)</f>
        <v>Women's Jeans</v>
      </c>
      <c r="C128">
        <v>2023</v>
      </c>
      <c r="D128">
        <v>4</v>
      </c>
      <c r="E128" t="str">
        <f>VLOOKUP(Simulated_Dept_Data[[#This Row],[SegmentID]],Table5[],2,FALSE)</f>
        <v>Infrequent Customers</v>
      </c>
      <c r="G128" t="str">
        <f>IFERROR(VLOOKUP(Simulated_Dept_Data[[#This Row],[ProfileID]],Table57[],2,FALSE),"NO PROFILE")</f>
        <v>NO PROFILE</v>
      </c>
      <c r="H128">
        <v>5744.09</v>
      </c>
      <c r="I128">
        <v>535</v>
      </c>
    </row>
    <row r="129" spans="1:9" x14ac:dyDescent="0.25">
      <c r="A129" t="s">
        <v>3</v>
      </c>
      <c r="B129" t="str">
        <f>VLOOKUP(Simulated_Dept_Data[[#This Row],[DepartmentID]],Table578[],2,FALSE)</f>
        <v>Women's Jeans</v>
      </c>
      <c r="C129">
        <v>2023</v>
      </c>
      <c r="D129">
        <v>4</v>
      </c>
      <c r="E129" t="str">
        <f>VLOOKUP(Simulated_Dept_Data[[#This Row],[SegmentID]],Table5[],2,FALSE)</f>
        <v>Infrequent Customers</v>
      </c>
      <c r="F129">
        <v>1</v>
      </c>
      <c r="G129" t="str">
        <f>IFERROR(VLOOKUP(Simulated_Dept_Data[[#This Row],[ProfileID]],Table57[],2,FALSE),"NO PROFILE")</f>
        <v>City Slickers</v>
      </c>
      <c r="H129">
        <v>23104.86</v>
      </c>
      <c r="I129">
        <v>1073</v>
      </c>
    </row>
    <row r="130" spans="1:9" x14ac:dyDescent="0.25">
      <c r="A130" t="s">
        <v>3</v>
      </c>
      <c r="B130" t="str">
        <f>VLOOKUP(Simulated_Dept_Data[[#This Row],[DepartmentID]],Table578[],2,FALSE)</f>
        <v>Women's Jeans</v>
      </c>
      <c r="C130">
        <v>2023</v>
      </c>
      <c r="D130">
        <v>4</v>
      </c>
      <c r="E130" t="str">
        <f>VLOOKUP(Simulated_Dept_Data[[#This Row],[SegmentID]],Table5[],2,FALSE)</f>
        <v>Infrequent Customers</v>
      </c>
      <c r="F130">
        <v>2</v>
      </c>
      <c r="G130" t="str">
        <f>IFERROR(VLOOKUP(Simulated_Dept_Data[[#This Row],[ProfileID]],Table57[],2,FALSE),"NO PROFILE")</f>
        <v>Rich &amp; Richer</v>
      </c>
      <c r="H130">
        <v>538.95000000000005</v>
      </c>
      <c r="I130">
        <v>164</v>
      </c>
    </row>
    <row r="131" spans="1:9" x14ac:dyDescent="0.25">
      <c r="A131" t="s">
        <v>3</v>
      </c>
      <c r="B131" t="str">
        <f>VLOOKUP(Simulated_Dept_Data[[#This Row],[DepartmentID]],Table578[],2,FALSE)</f>
        <v>Women's Jeans</v>
      </c>
      <c r="C131">
        <v>2023</v>
      </c>
      <c r="D131">
        <v>4</v>
      </c>
      <c r="E131" t="str">
        <f>VLOOKUP(Simulated_Dept_Data[[#This Row],[SegmentID]],Table5[],2,FALSE)</f>
        <v>Infrequent Customers</v>
      </c>
      <c r="F131">
        <v>3</v>
      </c>
      <c r="G131" t="str">
        <f>IFERROR(VLOOKUP(Simulated_Dept_Data[[#This Row],[ProfileID]],Table57[],2,FALSE),"NO PROFILE")</f>
        <v>Mr. &amp; Mrs. Smiths</v>
      </c>
      <c r="H131">
        <v>4557.04</v>
      </c>
      <c r="I131">
        <v>476</v>
      </c>
    </row>
    <row r="132" spans="1:9" x14ac:dyDescent="0.25">
      <c r="A132" t="s">
        <v>3</v>
      </c>
      <c r="B132" t="str">
        <f>VLOOKUP(Simulated_Dept_Data[[#This Row],[DepartmentID]],Table578[],2,FALSE)</f>
        <v>Women's Jeans</v>
      </c>
      <c r="C132">
        <v>2023</v>
      </c>
      <c r="D132">
        <v>4</v>
      </c>
      <c r="E132" t="str">
        <f>VLOOKUP(Simulated_Dept_Data[[#This Row],[SegmentID]],Table5[],2,FALSE)</f>
        <v>Infrequent Customers</v>
      </c>
      <c r="F132">
        <v>4</v>
      </c>
      <c r="G132" t="str">
        <f>IFERROR(VLOOKUP(Simulated_Dept_Data[[#This Row],[ProfileID]],Table57[],2,FALSE),"NO PROFILE")</f>
        <v>Blue Collar Royalty</v>
      </c>
      <c r="H132">
        <v>21544.14</v>
      </c>
      <c r="I132">
        <v>1036</v>
      </c>
    </row>
    <row r="133" spans="1:9" x14ac:dyDescent="0.25">
      <c r="A133" t="s">
        <v>3</v>
      </c>
      <c r="B133" t="str">
        <f>VLOOKUP(Simulated_Dept_Data[[#This Row],[DepartmentID]],Table578[],2,FALSE)</f>
        <v>Women's Jeans</v>
      </c>
      <c r="C133">
        <v>2023</v>
      </c>
      <c r="D133">
        <v>4</v>
      </c>
      <c r="E133" t="str">
        <f>VLOOKUP(Simulated_Dept_Data[[#This Row],[SegmentID]],Table5[],2,FALSE)</f>
        <v>Infrequent Customers</v>
      </c>
      <c r="F133">
        <v>5</v>
      </c>
      <c r="G133" t="str">
        <f>IFERROR(VLOOKUP(Simulated_Dept_Data[[#This Row],[ProfileID]],Table57[],2,FALSE),"NO PROFILE")</f>
        <v>Pinched Pockets</v>
      </c>
      <c r="H133">
        <v>45.86</v>
      </c>
      <c r="I133">
        <v>48</v>
      </c>
    </row>
    <row r="134" spans="1:9" x14ac:dyDescent="0.25">
      <c r="A134" t="s">
        <v>3</v>
      </c>
      <c r="B134" t="str">
        <f>VLOOKUP(Simulated_Dept_Data[[#This Row],[DepartmentID]],Table578[],2,FALSE)</f>
        <v>Women's Jeans</v>
      </c>
      <c r="C134">
        <v>2023</v>
      </c>
      <c r="D134">
        <v>4</v>
      </c>
      <c r="E134" t="str">
        <f>VLOOKUP(Simulated_Dept_Data[[#This Row],[SegmentID]],Table5[],2,FALSE)</f>
        <v>Infrequent Customers</v>
      </c>
      <c r="F134">
        <v>6</v>
      </c>
      <c r="G134" t="str">
        <f>IFERROR(VLOOKUP(Simulated_Dept_Data[[#This Row],[ProfileID]],Table57[],2,FALSE),"NO PROFILE")</f>
        <v>Normal Families</v>
      </c>
      <c r="H134">
        <v>2316.37</v>
      </c>
      <c r="I134">
        <v>340</v>
      </c>
    </row>
    <row r="135" spans="1:9" x14ac:dyDescent="0.25">
      <c r="A135" t="s">
        <v>3</v>
      </c>
      <c r="B135" t="str">
        <f>VLOOKUP(Simulated_Dept_Data[[#This Row],[DepartmentID]],Table578[],2,FALSE)</f>
        <v>Women's Jeans</v>
      </c>
      <c r="C135">
        <v>2023</v>
      </c>
      <c r="D135">
        <v>5</v>
      </c>
      <c r="E135" t="str">
        <f>VLOOKUP(Simulated_Dept_Data[[#This Row],[SegmentID]],Table5[],2,FALSE)</f>
        <v>New Customers</v>
      </c>
      <c r="G135" t="str">
        <f>IFERROR(VLOOKUP(Simulated_Dept_Data[[#This Row],[ProfileID]],Table57[],2,FALSE),"NO PROFILE")</f>
        <v>NO PROFILE</v>
      </c>
      <c r="H135">
        <v>28181.16</v>
      </c>
      <c r="I135">
        <v>1183</v>
      </c>
    </row>
    <row r="136" spans="1:9" x14ac:dyDescent="0.25">
      <c r="A136" t="s">
        <v>3</v>
      </c>
      <c r="B136" t="str">
        <f>VLOOKUP(Simulated_Dept_Data[[#This Row],[DepartmentID]],Table578[],2,FALSE)</f>
        <v>Women's Jeans</v>
      </c>
      <c r="C136">
        <v>2023</v>
      </c>
      <c r="D136">
        <v>5</v>
      </c>
      <c r="E136" t="str">
        <f>VLOOKUP(Simulated_Dept_Data[[#This Row],[SegmentID]],Table5[],2,FALSE)</f>
        <v>New Customers</v>
      </c>
      <c r="F136">
        <v>1</v>
      </c>
      <c r="G136" t="str">
        <f>IFERROR(VLOOKUP(Simulated_Dept_Data[[#This Row],[ProfileID]],Table57[],2,FALSE),"NO PROFILE")</f>
        <v>City Slickers</v>
      </c>
      <c r="H136">
        <v>9503.18</v>
      </c>
      <c r="I136">
        <v>687</v>
      </c>
    </row>
    <row r="137" spans="1:9" x14ac:dyDescent="0.25">
      <c r="A137" t="s">
        <v>3</v>
      </c>
      <c r="B137" t="str">
        <f>VLOOKUP(Simulated_Dept_Data[[#This Row],[DepartmentID]],Table578[],2,FALSE)</f>
        <v>Women's Jeans</v>
      </c>
      <c r="C137">
        <v>2023</v>
      </c>
      <c r="D137">
        <v>5</v>
      </c>
      <c r="E137" t="str">
        <f>VLOOKUP(Simulated_Dept_Data[[#This Row],[SegmentID]],Table5[],2,FALSE)</f>
        <v>New Customers</v>
      </c>
      <c r="F137">
        <v>2</v>
      </c>
      <c r="G137" t="str">
        <f>IFERROR(VLOOKUP(Simulated_Dept_Data[[#This Row],[ProfileID]],Table57[],2,FALSE),"NO PROFILE")</f>
        <v>Rich &amp; Richer</v>
      </c>
      <c r="H137">
        <v>20425.03</v>
      </c>
      <c r="I137">
        <v>1007</v>
      </c>
    </row>
    <row r="138" spans="1:9" x14ac:dyDescent="0.25">
      <c r="A138" t="s">
        <v>3</v>
      </c>
      <c r="B138" t="str">
        <f>VLOOKUP(Simulated_Dept_Data[[#This Row],[DepartmentID]],Table578[],2,FALSE)</f>
        <v>Women's Jeans</v>
      </c>
      <c r="C138">
        <v>2023</v>
      </c>
      <c r="D138">
        <v>5</v>
      </c>
      <c r="E138" t="str">
        <f>VLOOKUP(Simulated_Dept_Data[[#This Row],[SegmentID]],Table5[],2,FALSE)</f>
        <v>New Customers</v>
      </c>
      <c r="F138">
        <v>3</v>
      </c>
      <c r="G138" t="str">
        <f>IFERROR(VLOOKUP(Simulated_Dept_Data[[#This Row],[ProfileID]],Table57[],2,FALSE),"NO PROFILE")</f>
        <v>Mr. &amp; Mrs. Smiths</v>
      </c>
      <c r="H138">
        <v>31245.14</v>
      </c>
      <c r="I138">
        <v>1246</v>
      </c>
    </row>
    <row r="139" spans="1:9" x14ac:dyDescent="0.25">
      <c r="A139" t="s">
        <v>3</v>
      </c>
      <c r="B139" t="str">
        <f>VLOOKUP(Simulated_Dept_Data[[#This Row],[DepartmentID]],Table578[],2,FALSE)</f>
        <v>Women's Jeans</v>
      </c>
      <c r="C139">
        <v>2023</v>
      </c>
      <c r="D139">
        <v>5</v>
      </c>
      <c r="E139" t="str">
        <f>VLOOKUP(Simulated_Dept_Data[[#This Row],[SegmentID]],Table5[],2,FALSE)</f>
        <v>New Customers</v>
      </c>
      <c r="F139">
        <v>4</v>
      </c>
      <c r="G139" t="str">
        <f>IFERROR(VLOOKUP(Simulated_Dept_Data[[#This Row],[ProfileID]],Table57[],2,FALSE),"NO PROFILE")</f>
        <v>Blue Collar Royalty</v>
      </c>
      <c r="H139">
        <v>38.94</v>
      </c>
      <c r="I139">
        <v>44</v>
      </c>
    </row>
    <row r="140" spans="1:9" x14ac:dyDescent="0.25">
      <c r="A140" t="s">
        <v>3</v>
      </c>
      <c r="B140" t="str">
        <f>VLOOKUP(Simulated_Dept_Data[[#This Row],[DepartmentID]],Table578[],2,FALSE)</f>
        <v>Women's Jeans</v>
      </c>
      <c r="C140">
        <v>2023</v>
      </c>
      <c r="D140">
        <v>5</v>
      </c>
      <c r="E140" t="str">
        <f>VLOOKUP(Simulated_Dept_Data[[#This Row],[SegmentID]],Table5[],2,FALSE)</f>
        <v>New Customers</v>
      </c>
      <c r="F140">
        <v>5</v>
      </c>
      <c r="G140" t="str">
        <f>IFERROR(VLOOKUP(Simulated_Dept_Data[[#This Row],[ProfileID]],Table57[],2,FALSE),"NO PROFILE")</f>
        <v>Pinched Pockets</v>
      </c>
      <c r="H140">
        <v>47.49</v>
      </c>
      <c r="I140">
        <v>49</v>
      </c>
    </row>
    <row r="141" spans="1:9" x14ac:dyDescent="0.25">
      <c r="A141" t="s">
        <v>3</v>
      </c>
      <c r="B141" t="str">
        <f>VLOOKUP(Simulated_Dept_Data[[#This Row],[DepartmentID]],Table578[],2,FALSE)</f>
        <v>Women's Jeans</v>
      </c>
      <c r="C141">
        <v>2023</v>
      </c>
      <c r="D141">
        <v>5</v>
      </c>
      <c r="E141" t="str">
        <f>VLOOKUP(Simulated_Dept_Data[[#This Row],[SegmentID]],Table5[],2,FALSE)</f>
        <v>New Customers</v>
      </c>
      <c r="F141">
        <v>6</v>
      </c>
      <c r="G141" t="str">
        <f>IFERROR(VLOOKUP(Simulated_Dept_Data[[#This Row],[ProfileID]],Table57[],2,FALSE),"NO PROFILE")</f>
        <v>Normal Families</v>
      </c>
      <c r="H141">
        <v>237.23</v>
      </c>
      <c r="I141">
        <v>109</v>
      </c>
    </row>
    <row r="142" spans="1:9" x14ac:dyDescent="0.25">
      <c r="A142" t="s">
        <v>7</v>
      </c>
      <c r="B142" t="str">
        <f>VLOOKUP(Simulated_Dept_Data[[#This Row],[DepartmentID]],Table578[],2,FALSE)</f>
        <v>Cowboy Hats</v>
      </c>
      <c r="C142">
        <v>2022</v>
      </c>
      <c r="D142">
        <v>1</v>
      </c>
      <c r="E142" t="str">
        <f>VLOOKUP(Simulated_Dept_Data[[#This Row],[SegmentID]],Table5[],2,FALSE)</f>
        <v>Elite Customers</v>
      </c>
      <c r="G142" t="str">
        <f>IFERROR(VLOOKUP(Simulated_Dept_Data[[#This Row],[ProfileID]],Table57[],2,FALSE),"NO PROFILE")</f>
        <v>NO PROFILE</v>
      </c>
      <c r="H142">
        <v>10750.65</v>
      </c>
      <c r="I142">
        <v>1778</v>
      </c>
    </row>
    <row r="143" spans="1:9" x14ac:dyDescent="0.25">
      <c r="A143" t="s">
        <v>7</v>
      </c>
      <c r="B143" t="str">
        <f>VLOOKUP(Simulated_Dept_Data[[#This Row],[DepartmentID]],Table578[],2,FALSE)</f>
        <v>Cowboy Hats</v>
      </c>
      <c r="C143">
        <v>2022</v>
      </c>
      <c r="D143">
        <v>1</v>
      </c>
      <c r="E143" t="str">
        <f>VLOOKUP(Simulated_Dept_Data[[#This Row],[SegmentID]],Table5[],2,FALSE)</f>
        <v>Elite Customers</v>
      </c>
      <c r="F143">
        <v>1</v>
      </c>
      <c r="G143" t="str">
        <f>IFERROR(VLOOKUP(Simulated_Dept_Data[[#This Row],[ProfileID]],Table57[],2,FALSE),"NO PROFILE")</f>
        <v>City Slickers</v>
      </c>
      <c r="H143">
        <v>33878.25</v>
      </c>
      <c r="I143">
        <v>3157</v>
      </c>
    </row>
    <row r="144" spans="1:9" x14ac:dyDescent="0.25">
      <c r="A144" t="s">
        <v>7</v>
      </c>
      <c r="B144" t="str">
        <f>VLOOKUP(Simulated_Dept_Data[[#This Row],[DepartmentID]],Table578[],2,FALSE)</f>
        <v>Cowboy Hats</v>
      </c>
      <c r="C144">
        <v>2022</v>
      </c>
      <c r="D144">
        <v>1</v>
      </c>
      <c r="E144" t="str">
        <f>VLOOKUP(Simulated_Dept_Data[[#This Row],[SegmentID]],Table5[],2,FALSE)</f>
        <v>Elite Customers</v>
      </c>
      <c r="F144">
        <v>2</v>
      </c>
      <c r="G144" t="str">
        <f>IFERROR(VLOOKUP(Simulated_Dept_Data[[#This Row],[ProfileID]],Table57[],2,FALSE),"NO PROFILE")</f>
        <v>Rich &amp; Richer</v>
      </c>
      <c r="H144">
        <v>38528.93</v>
      </c>
      <c r="I144">
        <v>3366</v>
      </c>
    </row>
    <row r="145" spans="1:9" x14ac:dyDescent="0.25">
      <c r="A145" t="s">
        <v>7</v>
      </c>
      <c r="B145" t="str">
        <f>VLOOKUP(Simulated_Dept_Data[[#This Row],[DepartmentID]],Table578[],2,FALSE)</f>
        <v>Cowboy Hats</v>
      </c>
      <c r="C145">
        <v>2022</v>
      </c>
      <c r="D145">
        <v>1</v>
      </c>
      <c r="E145" t="str">
        <f>VLOOKUP(Simulated_Dept_Data[[#This Row],[SegmentID]],Table5[],2,FALSE)</f>
        <v>Elite Customers</v>
      </c>
      <c r="F145">
        <v>3</v>
      </c>
      <c r="G145" t="str">
        <f>IFERROR(VLOOKUP(Simulated_Dept_Data[[#This Row],[ProfileID]],Table57[],2,FALSE),"NO PROFILE")</f>
        <v>Mr. &amp; Mrs. Smiths</v>
      </c>
      <c r="H145">
        <v>39408.83</v>
      </c>
      <c r="I145">
        <v>3405</v>
      </c>
    </row>
    <row r="146" spans="1:9" x14ac:dyDescent="0.25">
      <c r="A146" t="s">
        <v>7</v>
      </c>
      <c r="B146" t="str">
        <f>VLOOKUP(Simulated_Dept_Data[[#This Row],[DepartmentID]],Table578[],2,FALSE)</f>
        <v>Cowboy Hats</v>
      </c>
      <c r="C146">
        <v>2022</v>
      </c>
      <c r="D146">
        <v>1</v>
      </c>
      <c r="E146" t="str">
        <f>VLOOKUP(Simulated_Dept_Data[[#This Row],[SegmentID]],Table5[],2,FALSE)</f>
        <v>Elite Customers</v>
      </c>
      <c r="F146">
        <v>4</v>
      </c>
      <c r="G146" t="str">
        <f>IFERROR(VLOOKUP(Simulated_Dept_Data[[#This Row],[ProfileID]],Table57[],2,FALSE),"NO PROFILE")</f>
        <v>Blue Collar Royalty</v>
      </c>
      <c r="H146">
        <v>10783.18</v>
      </c>
      <c r="I146">
        <v>1781</v>
      </c>
    </row>
    <row r="147" spans="1:9" x14ac:dyDescent="0.25">
      <c r="A147" t="s">
        <v>7</v>
      </c>
      <c r="B147" t="str">
        <f>VLOOKUP(Simulated_Dept_Data[[#This Row],[DepartmentID]],Table578[],2,FALSE)</f>
        <v>Cowboy Hats</v>
      </c>
      <c r="C147">
        <v>2022</v>
      </c>
      <c r="D147">
        <v>1</v>
      </c>
      <c r="E147" t="str">
        <f>VLOOKUP(Simulated_Dept_Data[[#This Row],[SegmentID]],Table5[],2,FALSE)</f>
        <v>Elite Customers</v>
      </c>
      <c r="F147">
        <v>5</v>
      </c>
      <c r="G147" t="str">
        <f>IFERROR(VLOOKUP(Simulated_Dept_Data[[#This Row],[ProfileID]],Table57[],2,FALSE),"NO PROFILE")</f>
        <v>Pinched Pockets</v>
      </c>
      <c r="H147">
        <v>52216.4</v>
      </c>
      <c r="I147">
        <v>3919</v>
      </c>
    </row>
    <row r="148" spans="1:9" x14ac:dyDescent="0.25">
      <c r="A148" t="s">
        <v>7</v>
      </c>
      <c r="B148" t="str">
        <f>VLOOKUP(Simulated_Dept_Data[[#This Row],[DepartmentID]],Table578[],2,FALSE)</f>
        <v>Cowboy Hats</v>
      </c>
      <c r="C148">
        <v>2022</v>
      </c>
      <c r="D148">
        <v>1</v>
      </c>
      <c r="E148" t="str">
        <f>VLOOKUP(Simulated_Dept_Data[[#This Row],[SegmentID]],Table5[],2,FALSE)</f>
        <v>Elite Customers</v>
      </c>
      <c r="F148">
        <v>6</v>
      </c>
      <c r="G148" t="str">
        <f>IFERROR(VLOOKUP(Simulated_Dept_Data[[#This Row],[ProfileID]],Table57[],2,FALSE),"NO PROFILE")</f>
        <v>Normal Families</v>
      </c>
      <c r="H148">
        <v>8203.7999999999993</v>
      </c>
      <c r="I148">
        <v>1553</v>
      </c>
    </row>
    <row r="149" spans="1:9" x14ac:dyDescent="0.25">
      <c r="A149" t="s">
        <v>7</v>
      </c>
      <c r="B149" t="str">
        <f>VLOOKUP(Simulated_Dept_Data[[#This Row],[DepartmentID]],Table578[],2,FALSE)</f>
        <v>Cowboy Hats</v>
      </c>
      <c r="C149">
        <v>2022</v>
      </c>
      <c r="D149">
        <v>2</v>
      </c>
      <c r="E149" t="str">
        <f>VLOOKUP(Simulated_Dept_Data[[#This Row],[SegmentID]],Table5[],2,FALSE)</f>
        <v>Core Customers</v>
      </c>
      <c r="G149" t="str">
        <f>IFERROR(VLOOKUP(Simulated_Dept_Data[[#This Row],[ProfileID]],Table57[],2,FALSE),"NO PROFILE")</f>
        <v>NO PROFILE</v>
      </c>
      <c r="H149">
        <v>53317.77</v>
      </c>
      <c r="I149">
        <v>3840</v>
      </c>
    </row>
    <row r="150" spans="1:9" x14ac:dyDescent="0.25">
      <c r="A150" t="s">
        <v>7</v>
      </c>
      <c r="B150" t="str">
        <f>VLOOKUP(Simulated_Dept_Data[[#This Row],[DepartmentID]],Table578[],2,FALSE)</f>
        <v>Cowboy Hats</v>
      </c>
      <c r="C150">
        <v>2022</v>
      </c>
      <c r="D150">
        <v>2</v>
      </c>
      <c r="E150" t="str">
        <f>VLOOKUP(Simulated_Dept_Data[[#This Row],[SegmentID]],Table5[],2,FALSE)</f>
        <v>Core Customers</v>
      </c>
      <c r="F150">
        <v>1</v>
      </c>
      <c r="G150" t="str">
        <f>IFERROR(VLOOKUP(Simulated_Dept_Data[[#This Row],[ProfileID]],Table57[],2,FALSE),"NO PROFILE")</f>
        <v>City Slickers</v>
      </c>
      <c r="H150">
        <v>12755.62</v>
      </c>
      <c r="I150">
        <v>1878</v>
      </c>
    </row>
    <row r="151" spans="1:9" x14ac:dyDescent="0.25">
      <c r="A151" t="s">
        <v>7</v>
      </c>
      <c r="B151" t="str">
        <f>VLOOKUP(Simulated_Dept_Data[[#This Row],[DepartmentID]],Table578[],2,FALSE)</f>
        <v>Cowboy Hats</v>
      </c>
      <c r="C151">
        <v>2022</v>
      </c>
      <c r="D151">
        <v>2</v>
      </c>
      <c r="E151" t="str">
        <f>VLOOKUP(Simulated_Dept_Data[[#This Row],[SegmentID]],Table5[],2,FALSE)</f>
        <v>Core Customers</v>
      </c>
      <c r="F151">
        <v>2</v>
      </c>
      <c r="G151" t="str">
        <f>IFERROR(VLOOKUP(Simulated_Dept_Data[[#This Row],[ProfileID]],Table57[],2,FALSE),"NO PROFILE")</f>
        <v>Rich &amp; Richer</v>
      </c>
      <c r="H151">
        <v>20393.45</v>
      </c>
      <c r="I151">
        <v>2375</v>
      </c>
    </row>
    <row r="152" spans="1:9" x14ac:dyDescent="0.25">
      <c r="A152" t="s">
        <v>7</v>
      </c>
      <c r="B152" t="str">
        <f>VLOOKUP(Simulated_Dept_Data[[#This Row],[DepartmentID]],Table578[],2,FALSE)</f>
        <v>Cowboy Hats</v>
      </c>
      <c r="C152">
        <v>2022</v>
      </c>
      <c r="D152">
        <v>2</v>
      </c>
      <c r="E152" t="str">
        <f>VLOOKUP(Simulated_Dept_Data[[#This Row],[SegmentID]],Table5[],2,FALSE)</f>
        <v>Core Customers</v>
      </c>
      <c r="F152">
        <v>3</v>
      </c>
      <c r="G152" t="str">
        <f>IFERROR(VLOOKUP(Simulated_Dept_Data[[#This Row],[ProfileID]],Table57[],2,FALSE),"NO PROFILE")</f>
        <v>Mr. &amp; Mrs. Smiths</v>
      </c>
      <c r="H152">
        <v>44634.14</v>
      </c>
      <c r="I152">
        <v>3514</v>
      </c>
    </row>
    <row r="153" spans="1:9" x14ac:dyDescent="0.25">
      <c r="A153" t="s">
        <v>7</v>
      </c>
      <c r="B153" t="str">
        <f>VLOOKUP(Simulated_Dept_Data[[#This Row],[DepartmentID]],Table578[],2,FALSE)</f>
        <v>Cowboy Hats</v>
      </c>
      <c r="C153">
        <v>2022</v>
      </c>
      <c r="D153">
        <v>2</v>
      </c>
      <c r="E153" t="str">
        <f>VLOOKUP(Simulated_Dept_Data[[#This Row],[SegmentID]],Table5[],2,FALSE)</f>
        <v>Core Customers</v>
      </c>
      <c r="F153">
        <v>4</v>
      </c>
      <c r="G153" t="str">
        <f>IFERROR(VLOOKUP(Simulated_Dept_Data[[#This Row],[ProfileID]],Table57[],2,FALSE),"NO PROFILE")</f>
        <v>Blue Collar Royalty</v>
      </c>
      <c r="H153">
        <v>31.4</v>
      </c>
      <c r="I153">
        <v>93</v>
      </c>
    </row>
    <row r="154" spans="1:9" x14ac:dyDescent="0.25">
      <c r="A154" t="s">
        <v>7</v>
      </c>
      <c r="B154" t="str">
        <f>VLOOKUP(Simulated_Dept_Data[[#This Row],[DepartmentID]],Table578[],2,FALSE)</f>
        <v>Cowboy Hats</v>
      </c>
      <c r="C154">
        <v>2022</v>
      </c>
      <c r="D154">
        <v>2</v>
      </c>
      <c r="E154" t="str">
        <f>VLOOKUP(Simulated_Dept_Data[[#This Row],[SegmentID]],Table5[],2,FALSE)</f>
        <v>Core Customers</v>
      </c>
      <c r="F154">
        <v>5</v>
      </c>
      <c r="G154" t="str">
        <f>IFERROR(VLOOKUP(Simulated_Dept_Data[[#This Row],[ProfileID]],Table57[],2,FALSE),"NO PROFILE")</f>
        <v>Pinched Pockets</v>
      </c>
      <c r="H154">
        <v>9271.6299999999992</v>
      </c>
      <c r="I154">
        <v>1602</v>
      </c>
    </row>
    <row r="155" spans="1:9" x14ac:dyDescent="0.25">
      <c r="A155" t="s">
        <v>7</v>
      </c>
      <c r="B155" t="str">
        <f>VLOOKUP(Simulated_Dept_Data[[#This Row],[DepartmentID]],Table578[],2,FALSE)</f>
        <v>Cowboy Hats</v>
      </c>
      <c r="C155">
        <v>2022</v>
      </c>
      <c r="D155">
        <v>2</v>
      </c>
      <c r="E155" t="str">
        <f>VLOOKUP(Simulated_Dept_Data[[#This Row],[SegmentID]],Table5[],2,FALSE)</f>
        <v>Core Customers</v>
      </c>
      <c r="F155">
        <v>6</v>
      </c>
      <c r="G155" t="str">
        <f>IFERROR(VLOOKUP(Simulated_Dept_Data[[#This Row],[ProfileID]],Table57[],2,FALSE),"NO PROFILE")</f>
        <v>Normal Families</v>
      </c>
      <c r="H155">
        <v>5580.38</v>
      </c>
      <c r="I155">
        <v>1242</v>
      </c>
    </row>
    <row r="156" spans="1:9" x14ac:dyDescent="0.25">
      <c r="A156" t="s">
        <v>7</v>
      </c>
      <c r="B156" t="str">
        <f>VLOOKUP(Simulated_Dept_Data[[#This Row],[DepartmentID]],Table578[],2,FALSE)</f>
        <v>Cowboy Hats</v>
      </c>
      <c r="C156">
        <v>2022</v>
      </c>
      <c r="D156">
        <v>3</v>
      </c>
      <c r="E156" t="str">
        <f>VLOOKUP(Simulated_Dept_Data[[#This Row],[SegmentID]],Table5[],2,FALSE)</f>
        <v>Power Shoppers</v>
      </c>
      <c r="G156" t="str">
        <f>IFERROR(VLOOKUP(Simulated_Dept_Data[[#This Row],[ProfileID]],Table57[],2,FALSE),"NO PROFILE")</f>
        <v>NO PROFILE</v>
      </c>
      <c r="H156">
        <v>14267.77</v>
      </c>
      <c r="I156">
        <v>1954</v>
      </c>
    </row>
    <row r="157" spans="1:9" x14ac:dyDescent="0.25">
      <c r="A157" t="s">
        <v>7</v>
      </c>
      <c r="B157" t="str">
        <f>VLOOKUP(Simulated_Dept_Data[[#This Row],[DepartmentID]],Table578[],2,FALSE)</f>
        <v>Cowboy Hats</v>
      </c>
      <c r="C157">
        <v>2022</v>
      </c>
      <c r="D157">
        <v>3</v>
      </c>
      <c r="E157" t="str">
        <f>VLOOKUP(Simulated_Dept_Data[[#This Row],[SegmentID]],Table5[],2,FALSE)</f>
        <v>Power Shoppers</v>
      </c>
      <c r="F157">
        <v>1</v>
      </c>
      <c r="G157" t="str">
        <f>IFERROR(VLOOKUP(Simulated_Dept_Data[[#This Row],[ProfileID]],Table57[],2,FALSE),"NO PROFILE")</f>
        <v>City Slickers</v>
      </c>
      <c r="H157">
        <v>68326.559999999998</v>
      </c>
      <c r="I157">
        <v>4276</v>
      </c>
    </row>
    <row r="158" spans="1:9" x14ac:dyDescent="0.25">
      <c r="A158" t="s">
        <v>7</v>
      </c>
      <c r="B158" t="str">
        <f>VLOOKUP(Simulated_Dept_Data[[#This Row],[DepartmentID]],Table578[],2,FALSE)</f>
        <v>Cowboy Hats</v>
      </c>
      <c r="C158">
        <v>2022</v>
      </c>
      <c r="D158">
        <v>3</v>
      </c>
      <c r="E158" t="str">
        <f>VLOOKUP(Simulated_Dept_Data[[#This Row],[SegmentID]],Table5[],2,FALSE)</f>
        <v>Power Shoppers</v>
      </c>
      <c r="F158">
        <v>2</v>
      </c>
      <c r="G158" t="str">
        <f>IFERROR(VLOOKUP(Simulated_Dept_Data[[#This Row],[ProfileID]],Table57[],2,FALSE),"NO PROFILE")</f>
        <v>Rich &amp; Richer</v>
      </c>
      <c r="H158">
        <v>9335</v>
      </c>
      <c r="I158">
        <v>1581</v>
      </c>
    </row>
    <row r="159" spans="1:9" x14ac:dyDescent="0.25">
      <c r="A159" t="s">
        <v>7</v>
      </c>
      <c r="B159" t="str">
        <f>VLOOKUP(Simulated_Dept_Data[[#This Row],[DepartmentID]],Table578[],2,FALSE)</f>
        <v>Cowboy Hats</v>
      </c>
      <c r="C159">
        <v>2022</v>
      </c>
      <c r="D159">
        <v>3</v>
      </c>
      <c r="E159" t="str">
        <f>VLOOKUP(Simulated_Dept_Data[[#This Row],[SegmentID]],Table5[],2,FALSE)</f>
        <v>Power Shoppers</v>
      </c>
      <c r="F159">
        <v>3</v>
      </c>
      <c r="G159" t="str">
        <f>IFERROR(VLOOKUP(Simulated_Dept_Data[[#This Row],[ProfileID]],Table57[],2,FALSE),"NO PROFILE")</f>
        <v>Mr. &amp; Mrs. Smiths</v>
      </c>
      <c r="H159">
        <v>1338.2</v>
      </c>
      <c r="I159">
        <v>598</v>
      </c>
    </row>
    <row r="160" spans="1:9" x14ac:dyDescent="0.25">
      <c r="A160" t="s">
        <v>7</v>
      </c>
      <c r="B160" t="str">
        <f>VLOOKUP(Simulated_Dept_Data[[#This Row],[DepartmentID]],Table578[],2,FALSE)</f>
        <v>Cowboy Hats</v>
      </c>
      <c r="C160">
        <v>2022</v>
      </c>
      <c r="D160">
        <v>3</v>
      </c>
      <c r="E160" t="str">
        <f>VLOOKUP(Simulated_Dept_Data[[#This Row],[SegmentID]],Table5[],2,FALSE)</f>
        <v>Power Shoppers</v>
      </c>
      <c r="F160">
        <v>4</v>
      </c>
      <c r="G160" t="str">
        <f>IFERROR(VLOOKUP(Simulated_Dept_Data[[#This Row],[ProfileID]],Table57[],2,FALSE),"NO PROFILE")</f>
        <v>Blue Collar Royalty</v>
      </c>
      <c r="H160">
        <v>40187.269999999997</v>
      </c>
      <c r="I160">
        <v>3280</v>
      </c>
    </row>
    <row r="161" spans="1:9" x14ac:dyDescent="0.25">
      <c r="A161" t="s">
        <v>7</v>
      </c>
      <c r="B161" t="str">
        <f>VLOOKUP(Simulated_Dept_Data[[#This Row],[DepartmentID]],Table578[],2,FALSE)</f>
        <v>Cowboy Hats</v>
      </c>
      <c r="C161">
        <v>2022</v>
      </c>
      <c r="D161">
        <v>3</v>
      </c>
      <c r="E161" t="str">
        <f>VLOOKUP(Simulated_Dept_Data[[#This Row],[SegmentID]],Table5[],2,FALSE)</f>
        <v>Power Shoppers</v>
      </c>
      <c r="F161">
        <v>5</v>
      </c>
      <c r="G161" t="str">
        <f>IFERROR(VLOOKUP(Simulated_Dept_Data[[#This Row],[ProfileID]],Table57[],2,FALSE),"NO PROFILE")</f>
        <v>Pinched Pockets</v>
      </c>
      <c r="H161">
        <v>14499.09</v>
      </c>
      <c r="I161">
        <v>1970</v>
      </c>
    </row>
    <row r="162" spans="1:9" x14ac:dyDescent="0.25">
      <c r="A162" t="s">
        <v>7</v>
      </c>
      <c r="B162" t="str">
        <f>VLOOKUP(Simulated_Dept_Data[[#This Row],[DepartmentID]],Table578[],2,FALSE)</f>
        <v>Cowboy Hats</v>
      </c>
      <c r="C162">
        <v>2022</v>
      </c>
      <c r="D162">
        <v>3</v>
      </c>
      <c r="E162" t="str">
        <f>VLOOKUP(Simulated_Dept_Data[[#This Row],[SegmentID]],Table5[],2,FALSE)</f>
        <v>Power Shoppers</v>
      </c>
      <c r="F162">
        <v>6</v>
      </c>
      <c r="G162" t="str">
        <f>IFERROR(VLOOKUP(Simulated_Dept_Data[[#This Row],[ProfileID]],Table57[],2,FALSE),"NO PROFILE")</f>
        <v>Normal Families</v>
      </c>
      <c r="H162">
        <v>420.22</v>
      </c>
      <c r="I162">
        <v>335</v>
      </c>
    </row>
    <row r="163" spans="1:9" x14ac:dyDescent="0.25">
      <c r="A163" t="s">
        <v>7</v>
      </c>
      <c r="B163" t="str">
        <f>VLOOKUP(Simulated_Dept_Data[[#This Row],[DepartmentID]],Table578[],2,FALSE)</f>
        <v>Cowboy Hats</v>
      </c>
      <c r="C163">
        <v>2022</v>
      </c>
      <c r="D163">
        <v>4</v>
      </c>
      <c r="E163" t="str">
        <f>VLOOKUP(Simulated_Dept_Data[[#This Row],[SegmentID]],Table5[],2,FALSE)</f>
        <v>Infrequent Customers</v>
      </c>
      <c r="G163" t="str">
        <f>IFERROR(VLOOKUP(Simulated_Dept_Data[[#This Row],[ProfileID]],Table57[],2,FALSE),"NO PROFILE")</f>
        <v>NO PROFILE</v>
      </c>
      <c r="H163">
        <v>21042.400000000001</v>
      </c>
      <c r="I163">
        <v>2377</v>
      </c>
    </row>
    <row r="164" spans="1:9" x14ac:dyDescent="0.25">
      <c r="A164" t="s">
        <v>7</v>
      </c>
      <c r="B164" t="str">
        <f>VLOOKUP(Simulated_Dept_Data[[#This Row],[DepartmentID]],Table578[],2,FALSE)</f>
        <v>Cowboy Hats</v>
      </c>
      <c r="C164">
        <v>2022</v>
      </c>
      <c r="D164">
        <v>4</v>
      </c>
      <c r="E164" t="str">
        <f>VLOOKUP(Simulated_Dept_Data[[#This Row],[SegmentID]],Table5[],2,FALSE)</f>
        <v>Infrequent Customers</v>
      </c>
      <c r="F164">
        <v>1</v>
      </c>
      <c r="G164" t="str">
        <f>IFERROR(VLOOKUP(Simulated_Dept_Data[[#This Row],[ProfileID]],Table57[],2,FALSE),"NO PROFILE")</f>
        <v>City Slickers</v>
      </c>
      <c r="H164">
        <v>84640.39</v>
      </c>
      <c r="I164">
        <v>4767</v>
      </c>
    </row>
    <row r="165" spans="1:9" x14ac:dyDescent="0.25">
      <c r="A165" t="s">
        <v>7</v>
      </c>
      <c r="B165" t="str">
        <f>VLOOKUP(Simulated_Dept_Data[[#This Row],[DepartmentID]],Table578[],2,FALSE)</f>
        <v>Cowboy Hats</v>
      </c>
      <c r="C165">
        <v>2022</v>
      </c>
      <c r="D165">
        <v>4</v>
      </c>
      <c r="E165" t="str">
        <f>VLOOKUP(Simulated_Dept_Data[[#This Row],[SegmentID]],Table5[],2,FALSE)</f>
        <v>Infrequent Customers</v>
      </c>
      <c r="F165">
        <v>2</v>
      </c>
      <c r="G165" t="str">
        <f>IFERROR(VLOOKUP(Simulated_Dept_Data[[#This Row],[ProfileID]],Table57[],2,FALSE),"NO PROFILE")</f>
        <v>Rich &amp; Richer</v>
      </c>
      <c r="H165">
        <v>1974.34</v>
      </c>
      <c r="I165">
        <v>728</v>
      </c>
    </row>
    <row r="166" spans="1:9" x14ac:dyDescent="0.25">
      <c r="A166" t="s">
        <v>7</v>
      </c>
      <c r="B166" t="str">
        <f>VLOOKUP(Simulated_Dept_Data[[#This Row],[DepartmentID]],Table578[],2,FALSE)</f>
        <v>Cowboy Hats</v>
      </c>
      <c r="C166">
        <v>2022</v>
      </c>
      <c r="D166">
        <v>4</v>
      </c>
      <c r="E166" t="str">
        <f>VLOOKUP(Simulated_Dept_Data[[#This Row],[SegmentID]],Table5[],2,FALSE)</f>
        <v>Infrequent Customers</v>
      </c>
      <c r="F166">
        <v>3</v>
      </c>
      <c r="G166" t="str">
        <f>IFERROR(VLOOKUP(Simulated_Dept_Data[[#This Row],[ProfileID]],Table57[],2,FALSE),"NO PROFILE")</f>
        <v>Mr. &amp; Mrs. Smiths</v>
      </c>
      <c r="H166">
        <v>16693.86</v>
      </c>
      <c r="I166">
        <v>2117</v>
      </c>
    </row>
    <row r="167" spans="1:9" x14ac:dyDescent="0.25">
      <c r="A167" t="s">
        <v>7</v>
      </c>
      <c r="B167" t="str">
        <f>VLOOKUP(Simulated_Dept_Data[[#This Row],[DepartmentID]],Table578[],2,FALSE)</f>
        <v>Cowboy Hats</v>
      </c>
      <c r="C167">
        <v>2022</v>
      </c>
      <c r="D167">
        <v>4</v>
      </c>
      <c r="E167" t="str">
        <f>VLOOKUP(Simulated_Dept_Data[[#This Row],[SegmentID]],Table5[],2,FALSE)</f>
        <v>Infrequent Customers</v>
      </c>
      <c r="F167">
        <v>4</v>
      </c>
      <c r="G167" t="str">
        <f>IFERROR(VLOOKUP(Simulated_Dept_Data[[#This Row],[ProfileID]],Table57[],2,FALSE),"NO PROFILE")</f>
        <v>Blue Collar Royalty</v>
      </c>
      <c r="H167">
        <v>78922.98</v>
      </c>
      <c r="I167">
        <v>4603</v>
      </c>
    </row>
    <row r="168" spans="1:9" x14ac:dyDescent="0.25">
      <c r="A168" t="s">
        <v>7</v>
      </c>
      <c r="B168" t="str">
        <f>VLOOKUP(Simulated_Dept_Data[[#This Row],[DepartmentID]],Table578[],2,FALSE)</f>
        <v>Cowboy Hats</v>
      </c>
      <c r="C168">
        <v>2022</v>
      </c>
      <c r="D168">
        <v>4</v>
      </c>
      <c r="E168" t="str">
        <f>VLOOKUP(Simulated_Dept_Data[[#This Row],[SegmentID]],Table5[],2,FALSE)</f>
        <v>Infrequent Customers</v>
      </c>
      <c r="F168">
        <v>5</v>
      </c>
      <c r="G168" t="str">
        <f>IFERROR(VLOOKUP(Simulated_Dept_Data[[#This Row],[ProfileID]],Table57[],2,FALSE),"NO PROFILE")</f>
        <v>Pinched Pockets</v>
      </c>
      <c r="H168">
        <v>168.01</v>
      </c>
      <c r="I168">
        <v>212</v>
      </c>
    </row>
    <row r="169" spans="1:9" x14ac:dyDescent="0.25">
      <c r="A169" t="s">
        <v>7</v>
      </c>
      <c r="B169" t="str">
        <f>VLOOKUP(Simulated_Dept_Data[[#This Row],[DepartmentID]],Table578[],2,FALSE)</f>
        <v>Cowboy Hats</v>
      </c>
      <c r="C169">
        <v>2022</v>
      </c>
      <c r="D169">
        <v>4</v>
      </c>
      <c r="E169" t="str">
        <f>VLOOKUP(Simulated_Dept_Data[[#This Row],[SegmentID]],Table5[],2,FALSE)</f>
        <v>Infrequent Customers</v>
      </c>
      <c r="F169">
        <v>6</v>
      </c>
      <c r="G169" t="str">
        <f>IFERROR(VLOOKUP(Simulated_Dept_Data[[#This Row],[ProfileID]],Table57[],2,FALSE),"NO PROFILE")</f>
        <v>Normal Families</v>
      </c>
      <c r="H169">
        <v>8485.6</v>
      </c>
      <c r="I169">
        <v>1509</v>
      </c>
    </row>
    <row r="170" spans="1:9" x14ac:dyDescent="0.25">
      <c r="A170" t="s">
        <v>7</v>
      </c>
      <c r="B170" t="str">
        <f>VLOOKUP(Simulated_Dept_Data[[#This Row],[DepartmentID]],Table578[],2,FALSE)</f>
        <v>Cowboy Hats</v>
      </c>
      <c r="C170">
        <v>2022</v>
      </c>
      <c r="D170">
        <v>5</v>
      </c>
      <c r="E170" t="str">
        <f>VLOOKUP(Simulated_Dept_Data[[#This Row],[SegmentID]],Table5[],2,FALSE)</f>
        <v>New Customers</v>
      </c>
      <c r="G170" t="str">
        <f>IFERROR(VLOOKUP(Simulated_Dept_Data[[#This Row],[ProfileID]],Table57[],2,FALSE),"NO PROFILE")</f>
        <v>NO PROFILE</v>
      </c>
      <c r="H170">
        <v>86981.07</v>
      </c>
      <c r="I170">
        <v>4712</v>
      </c>
    </row>
    <row r="171" spans="1:9" x14ac:dyDescent="0.25">
      <c r="A171" t="s">
        <v>7</v>
      </c>
      <c r="B171" t="str">
        <f>VLOOKUP(Simulated_Dept_Data[[#This Row],[DepartmentID]],Table578[],2,FALSE)</f>
        <v>Cowboy Hats</v>
      </c>
      <c r="C171">
        <v>2022</v>
      </c>
      <c r="D171">
        <v>5</v>
      </c>
      <c r="E171" t="str">
        <f>VLOOKUP(Simulated_Dept_Data[[#This Row],[SegmentID]],Table5[],2,FALSE)</f>
        <v>New Customers</v>
      </c>
      <c r="F171">
        <v>1</v>
      </c>
      <c r="G171" t="str">
        <f>IFERROR(VLOOKUP(Simulated_Dept_Data[[#This Row],[ProfileID]],Table57[],2,FALSE),"NO PROFILE")</f>
        <v>City Slickers</v>
      </c>
      <c r="H171">
        <v>29331.54</v>
      </c>
      <c r="I171">
        <v>2736</v>
      </c>
    </row>
    <row r="172" spans="1:9" x14ac:dyDescent="0.25">
      <c r="A172" t="s">
        <v>7</v>
      </c>
      <c r="B172" t="str">
        <f>VLOOKUP(Simulated_Dept_Data[[#This Row],[DepartmentID]],Table578[],2,FALSE)</f>
        <v>Cowboy Hats</v>
      </c>
      <c r="C172">
        <v>2022</v>
      </c>
      <c r="D172">
        <v>5</v>
      </c>
      <c r="E172" t="str">
        <f>VLOOKUP(Simulated_Dept_Data[[#This Row],[SegmentID]],Table5[],2,FALSE)</f>
        <v>New Customers</v>
      </c>
      <c r="F172">
        <v>2</v>
      </c>
      <c r="G172" t="str">
        <f>IFERROR(VLOOKUP(Simulated_Dept_Data[[#This Row],[ProfileID]],Table57[],2,FALSE),"NO PROFILE")</f>
        <v>Rich &amp; Richer</v>
      </c>
      <c r="H172">
        <v>63041.78</v>
      </c>
      <c r="I172">
        <v>4012</v>
      </c>
    </row>
    <row r="173" spans="1:9" x14ac:dyDescent="0.25">
      <c r="A173" t="s">
        <v>7</v>
      </c>
      <c r="B173" t="str">
        <f>VLOOKUP(Simulated_Dept_Data[[#This Row],[DepartmentID]],Table578[],2,FALSE)</f>
        <v>Cowboy Hats</v>
      </c>
      <c r="C173">
        <v>2022</v>
      </c>
      <c r="D173">
        <v>5</v>
      </c>
      <c r="E173" t="str">
        <f>VLOOKUP(Simulated_Dept_Data[[#This Row],[SegmentID]],Table5[],2,FALSE)</f>
        <v>New Customers</v>
      </c>
      <c r="F173">
        <v>3</v>
      </c>
      <c r="G173" t="str">
        <f>IFERROR(VLOOKUP(Simulated_Dept_Data[[#This Row],[ProfileID]],Table57[],2,FALSE),"NO PROFILE")</f>
        <v>Mr. &amp; Mrs. Smiths</v>
      </c>
      <c r="H173">
        <v>96438.02</v>
      </c>
      <c r="I173">
        <v>4962</v>
      </c>
    </row>
    <row r="174" spans="1:9" x14ac:dyDescent="0.25">
      <c r="A174" t="s">
        <v>7</v>
      </c>
      <c r="B174" t="str">
        <f>VLOOKUP(Simulated_Dept_Data[[#This Row],[DepartmentID]],Table578[],2,FALSE)</f>
        <v>Cowboy Hats</v>
      </c>
      <c r="C174">
        <v>2022</v>
      </c>
      <c r="D174">
        <v>5</v>
      </c>
      <c r="E174" t="str">
        <f>VLOOKUP(Simulated_Dept_Data[[#This Row],[SegmentID]],Table5[],2,FALSE)</f>
        <v>New Customers</v>
      </c>
      <c r="F174">
        <v>4</v>
      </c>
      <c r="G174" t="str">
        <f>IFERROR(VLOOKUP(Simulated_Dept_Data[[#This Row],[ProfileID]],Table57[],2,FALSE),"NO PROFILE")</f>
        <v>Blue Collar Royalty</v>
      </c>
      <c r="H174">
        <v>120.2</v>
      </c>
      <c r="I174">
        <v>175</v>
      </c>
    </row>
    <row r="175" spans="1:9" x14ac:dyDescent="0.25">
      <c r="A175" t="s">
        <v>7</v>
      </c>
      <c r="B175" t="str">
        <f>VLOOKUP(Simulated_Dept_Data[[#This Row],[DepartmentID]],Table578[],2,FALSE)</f>
        <v>Cowboy Hats</v>
      </c>
      <c r="C175">
        <v>2022</v>
      </c>
      <c r="D175">
        <v>5</v>
      </c>
      <c r="E175" t="str">
        <f>VLOOKUP(Simulated_Dept_Data[[#This Row],[SegmentID]],Table5[],2,FALSE)</f>
        <v>New Customers</v>
      </c>
      <c r="F175">
        <v>5</v>
      </c>
      <c r="G175" t="str">
        <f>IFERROR(VLOOKUP(Simulated_Dept_Data[[#This Row],[ProfileID]],Table57[],2,FALSE),"NO PROFILE")</f>
        <v>Pinched Pockets</v>
      </c>
      <c r="H175">
        <v>146.58000000000001</v>
      </c>
      <c r="I175">
        <v>193</v>
      </c>
    </row>
    <row r="176" spans="1:9" x14ac:dyDescent="0.25">
      <c r="A176" t="s">
        <v>7</v>
      </c>
      <c r="B176" t="str">
        <f>VLOOKUP(Simulated_Dept_Data[[#This Row],[DepartmentID]],Table578[],2,FALSE)</f>
        <v>Cowboy Hats</v>
      </c>
      <c r="C176">
        <v>2022</v>
      </c>
      <c r="D176">
        <v>5</v>
      </c>
      <c r="E176" t="str">
        <f>VLOOKUP(Simulated_Dept_Data[[#This Row],[SegmentID]],Table5[],2,FALSE)</f>
        <v>New Customers</v>
      </c>
      <c r="F176">
        <v>6</v>
      </c>
      <c r="G176" t="str">
        <f>IFERROR(VLOOKUP(Simulated_Dept_Data[[#This Row],[ProfileID]],Table57[],2,FALSE),"NO PROFILE")</f>
        <v>Normal Families</v>
      </c>
      <c r="H176">
        <v>732.21</v>
      </c>
      <c r="I176">
        <v>432</v>
      </c>
    </row>
    <row r="177" spans="1:9" x14ac:dyDescent="0.25">
      <c r="A177" t="s">
        <v>7</v>
      </c>
      <c r="B177" t="str">
        <f>VLOOKUP(Simulated_Dept_Data[[#This Row],[DepartmentID]],Table578[],2,FALSE)</f>
        <v>Cowboy Hats</v>
      </c>
      <c r="C177">
        <v>2023</v>
      </c>
      <c r="D177">
        <v>1</v>
      </c>
      <c r="E177" t="str">
        <f>VLOOKUP(Simulated_Dept_Data[[#This Row],[SegmentID]],Table5[],2,FALSE)</f>
        <v>Elite Customers</v>
      </c>
      <c r="G177" t="str">
        <f>IFERROR(VLOOKUP(Simulated_Dept_Data[[#This Row],[ProfileID]],Table57[],2,FALSE),"NO PROFILE")</f>
        <v>NO PROFILE</v>
      </c>
      <c r="H177">
        <v>11320.92</v>
      </c>
      <c r="I177">
        <v>1589</v>
      </c>
    </row>
    <row r="178" spans="1:9" x14ac:dyDescent="0.25">
      <c r="A178" t="s">
        <v>7</v>
      </c>
      <c r="B178" t="str">
        <f>VLOOKUP(Simulated_Dept_Data[[#This Row],[DepartmentID]],Table578[],2,FALSE)</f>
        <v>Cowboy Hats</v>
      </c>
      <c r="C178">
        <v>2023</v>
      </c>
      <c r="D178">
        <v>1</v>
      </c>
      <c r="E178" t="str">
        <f>VLOOKUP(Simulated_Dept_Data[[#This Row],[SegmentID]],Table5[],2,FALSE)</f>
        <v>Elite Customers</v>
      </c>
      <c r="F178">
        <v>1</v>
      </c>
      <c r="G178" t="str">
        <f>IFERROR(VLOOKUP(Simulated_Dept_Data[[#This Row],[ProfileID]],Table57[],2,FALSE),"NO PROFILE")</f>
        <v>City Slickers</v>
      </c>
      <c r="H178">
        <v>35675.32</v>
      </c>
      <c r="I178">
        <v>2821</v>
      </c>
    </row>
    <row r="179" spans="1:9" x14ac:dyDescent="0.25">
      <c r="A179" t="s">
        <v>7</v>
      </c>
      <c r="B179" t="str">
        <f>VLOOKUP(Simulated_Dept_Data[[#This Row],[DepartmentID]],Table578[],2,FALSE)</f>
        <v>Cowboy Hats</v>
      </c>
      <c r="C179">
        <v>2023</v>
      </c>
      <c r="D179">
        <v>1</v>
      </c>
      <c r="E179" t="str">
        <f>VLOOKUP(Simulated_Dept_Data[[#This Row],[SegmentID]],Table5[],2,FALSE)</f>
        <v>Elite Customers</v>
      </c>
      <c r="F179">
        <v>2</v>
      </c>
      <c r="G179" t="str">
        <f>IFERROR(VLOOKUP(Simulated_Dept_Data[[#This Row],[ProfileID]],Table57[],2,FALSE),"NO PROFILE")</f>
        <v>Rich &amp; Richer</v>
      </c>
      <c r="H179">
        <v>40572.699999999997</v>
      </c>
      <c r="I179">
        <v>3008</v>
      </c>
    </row>
    <row r="180" spans="1:9" x14ac:dyDescent="0.25">
      <c r="A180" t="s">
        <v>7</v>
      </c>
      <c r="B180" t="str">
        <f>VLOOKUP(Simulated_Dept_Data[[#This Row],[DepartmentID]],Table578[],2,FALSE)</f>
        <v>Cowboy Hats</v>
      </c>
      <c r="C180">
        <v>2023</v>
      </c>
      <c r="D180">
        <v>1</v>
      </c>
      <c r="E180" t="str">
        <f>VLOOKUP(Simulated_Dept_Data[[#This Row],[SegmentID]],Table5[],2,FALSE)</f>
        <v>Elite Customers</v>
      </c>
      <c r="F180">
        <v>3</v>
      </c>
      <c r="G180" t="str">
        <f>IFERROR(VLOOKUP(Simulated_Dept_Data[[#This Row],[ProfileID]],Table57[],2,FALSE),"NO PROFILE")</f>
        <v>Mr. &amp; Mrs. Smiths</v>
      </c>
      <c r="H180">
        <v>41499.269999999997</v>
      </c>
      <c r="I180">
        <v>3043</v>
      </c>
    </row>
    <row r="181" spans="1:9" x14ac:dyDescent="0.25">
      <c r="A181" t="s">
        <v>7</v>
      </c>
      <c r="B181" t="str">
        <f>VLOOKUP(Simulated_Dept_Data[[#This Row],[DepartmentID]],Table578[],2,FALSE)</f>
        <v>Cowboy Hats</v>
      </c>
      <c r="C181">
        <v>2023</v>
      </c>
      <c r="D181">
        <v>1</v>
      </c>
      <c r="E181" t="str">
        <f>VLOOKUP(Simulated_Dept_Data[[#This Row],[SegmentID]],Table5[],2,FALSE)</f>
        <v>Elite Customers</v>
      </c>
      <c r="F181">
        <v>4</v>
      </c>
      <c r="G181" t="str">
        <f>IFERROR(VLOOKUP(Simulated_Dept_Data[[#This Row],[ProfileID]],Table57[],2,FALSE),"NO PROFILE")</f>
        <v>Blue Collar Royalty</v>
      </c>
      <c r="H181">
        <v>11355.17</v>
      </c>
      <c r="I181">
        <v>1592</v>
      </c>
    </row>
    <row r="182" spans="1:9" x14ac:dyDescent="0.25">
      <c r="A182" t="s">
        <v>7</v>
      </c>
      <c r="B182" t="str">
        <f>VLOOKUP(Simulated_Dept_Data[[#This Row],[DepartmentID]],Table578[],2,FALSE)</f>
        <v>Cowboy Hats</v>
      </c>
      <c r="C182">
        <v>2023</v>
      </c>
      <c r="D182">
        <v>1</v>
      </c>
      <c r="E182" t="str">
        <f>VLOOKUP(Simulated_Dept_Data[[#This Row],[SegmentID]],Table5[],2,FALSE)</f>
        <v>Elite Customers</v>
      </c>
      <c r="F182">
        <v>5</v>
      </c>
      <c r="G182" t="str">
        <f>IFERROR(VLOOKUP(Simulated_Dept_Data[[#This Row],[ProfileID]],Table57[],2,FALSE),"NO PROFILE")</f>
        <v>Pinched Pockets</v>
      </c>
      <c r="H182">
        <v>54986.22</v>
      </c>
      <c r="I182">
        <v>3502</v>
      </c>
    </row>
    <row r="183" spans="1:9" x14ac:dyDescent="0.25">
      <c r="A183" t="s">
        <v>7</v>
      </c>
      <c r="B183" t="str">
        <f>VLOOKUP(Simulated_Dept_Data[[#This Row],[DepartmentID]],Table578[],2,FALSE)</f>
        <v>Cowboy Hats</v>
      </c>
      <c r="C183">
        <v>2023</v>
      </c>
      <c r="D183">
        <v>1</v>
      </c>
      <c r="E183" t="str">
        <f>VLOOKUP(Simulated_Dept_Data[[#This Row],[SegmentID]],Table5[],2,FALSE)</f>
        <v>Elite Customers</v>
      </c>
      <c r="F183">
        <v>6</v>
      </c>
      <c r="G183" t="str">
        <f>IFERROR(VLOOKUP(Simulated_Dept_Data[[#This Row],[ProfileID]],Table57[],2,FALSE),"NO PROFILE")</f>
        <v>Normal Families</v>
      </c>
      <c r="H183">
        <v>8638.9699999999993</v>
      </c>
      <c r="I183">
        <v>1388</v>
      </c>
    </row>
    <row r="184" spans="1:9" x14ac:dyDescent="0.25">
      <c r="A184" t="s">
        <v>7</v>
      </c>
      <c r="B184" t="str">
        <f>VLOOKUP(Simulated_Dept_Data[[#This Row],[DepartmentID]],Table578[],2,FALSE)</f>
        <v>Cowboy Hats</v>
      </c>
      <c r="C184">
        <v>2023</v>
      </c>
      <c r="D184">
        <v>2</v>
      </c>
      <c r="E184" t="str">
        <f>VLOOKUP(Simulated_Dept_Data[[#This Row],[SegmentID]],Table5[],2,FALSE)</f>
        <v>Core Customers</v>
      </c>
      <c r="G184" t="str">
        <f>IFERROR(VLOOKUP(Simulated_Dept_Data[[#This Row],[ProfileID]],Table57[],2,FALSE),"NO PROFILE")</f>
        <v>NO PROFILE</v>
      </c>
      <c r="H184">
        <v>46655.7</v>
      </c>
      <c r="I184">
        <v>3649</v>
      </c>
    </row>
    <row r="185" spans="1:9" x14ac:dyDescent="0.25">
      <c r="A185" t="s">
        <v>7</v>
      </c>
      <c r="B185" t="str">
        <f>VLOOKUP(Simulated_Dept_Data[[#This Row],[DepartmentID]],Table578[],2,FALSE)</f>
        <v>Cowboy Hats</v>
      </c>
      <c r="C185">
        <v>2023</v>
      </c>
      <c r="D185">
        <v>2</v>
      </c>
      <c r="E185" t="str">
        <f>VLOOKUP(Simulated_Dept_Data[[#This Row],[SegmentID]],Table5[],2,FALSE)</f>
        <v>Core Customers</v>
      </c>
      <c r="F185">
        <v>1</v>
      </c>
      <c r="G185" t="str">
        <f>IFERROR(VLOOKUP(Simulated_Dept_Data[[#This Row],[ProfileID]],Table57[],2,FALSE),"NO PROFILE")</f>
        <v>City Slickers</v>
      </c>
      <c r="H185">
        <v>11161.8</v>
      </c>
      <c r="I185">
        <v>1785</v>
      </c>
    </row>
    <row r="186" spans="1:9" x14ac:dyDescent="0.25">
      <c r="A186" t="s">
        <v>7</v>
      </c>
      <c r="B186" t="str">
        <f>VLOOKUP(Simulated_Dept_Data[[#This Row],[DepartmentID]],Table578[],2,FALSE)</f>
        <v>Cowboy Hats</v>
      </c>
      <c r="C186">
        <v>2023</v>
      </c>
      <c r="D186">
        <v>2</v>
      </c>
      <c r="E186" t="str">
        <f>VLOOKUP(Simulated_Dept_Data[[#This Row],[SegmentID]],Table5[],2,FALSE)</f>
        <v>Core Customers</v>
      </c>
      <c r="F186">
        <v>2</v>
      </c>
      <c r="G186" t="str">
        <f>IFERROR(VLOOKUP(Simulated_Dept_Data[[#This Row],[ProfileID]],Table57[],2,FALSE),"NO PROFILE")</f>
        <v>Rich &amp; Richer</v>
      </c>
      <c r="H186">
        <v>17845.29</v>
      </c>
      <c r="I186">
        <v>2257</v>
      </c>
    </row>
    <row r="187" spans="1:9" x14ac:dyDescent="0.25">
      <c r="A187" t="s">
        <v>7</v>
      </c>
      <c r="B187" t="str">
        <f>VLOOKUP(Simulated_Dept_Data[[#This Row],[DepartmentID]],Table578[],2,FALSE)</f>
        <v>Cowboy Hats</v>
      </c>
      <c r="C187">
        <v>2023</v>
      </c>
      <c r="D187">
        <v>2</v>
      </c>
      <c r="E187" t="str">
        <f>VLOOKUP(Simulated_Dept_Data[[#This Row],[SegmentID]],Table5[],2,FALSE)</f>
        <v>Core Customers</v>
      </c>
      <c r="F187">
        <v>3</v>
      </c>
      <c r="G187" t="str">
        <f>IFERROR(VLOOKUP(Simulated_Dept_Data[[#This Row],[ProfileID]],Table57[],2,FALSE),"NO PROFILE")</f>
        <v>Mr. &amp; Mrs. Smiths</v>
      </c>
      <c r="H187">
        <v>39057.089999999997</v>
      </c>
      <c r="I187">
        <v>3339</v>
      </c>
    </row>
    <row r="188" spans="1:9" x14ac:dyDescent="0.25">
      <c r="A188" t="s">
        <v>7</v>
      </c>
      <c r="B188" t="str">
        <f>VLOOKUP(Simulated_Dept_Data[[#This Row],[DepartmentID]],Table578[],2,FALSE)</f>
        <v>Cowboy Hats</v>
      </c>
      <c r="C188">
        <v>2023</v>
      </c>
      <c r="D188">
        <v>2</v>
      </c>
      <c r="E188" t="str">
        <f>VLOOKUP(Simulated_Dept_Data[[#This Row],[SegmentID]],Table5[],2,FALSE)</f>
        <v>Core Customers</v>
      </c>
      <c r="F188">
        <v>4</v>
      </c>
      <c r="G188" t="str">
        <f>IFERROR(VLOOKUP(Simulated_Dept_Data[[#This Row],[ProfileID]],Table57[],2,FALSE),"NO PROFILE")</f>
        <v>Blue Collar Royalty</v>
      </c>
      <c r="H188">
        <v>27.47</v>
      </c>
      <c r="I188">
        <v>89</v>
      </c>
    </row>
    <row r="189" spans="1:9" x14ac:dyDescent="0.25">
      <c r="A189" t="s">
        <v>7</v>
      </c>
      <c r="B189" t="str">
        <f>VLOOKUP(Simulated_Dept_Data[[#This Row],[DepartmentID]],Table578[],2,FALSE)</f>
        <v>Cowboy Hats</v>
      </c>
      <c r="C189">
        <v>2023</v>
      </c>
      <c r="D189">
        <v>2</v>
      </c>
      <c r="E189" t="str">
        <f>VLOOKUP(Simulated_Dept_Data[[#This Row],[SegmentID]],Table5[],2,FALSE)</f>
        <v>Core Customers</v>
      </c>
      <c r="F189">
        <v>5</v>
      </c>
      <c r="G189" t="str">
        <f>IFERROR(VLOOKUP(Simulated_Dept_Data[[#This Row],[ProfileID]],Table57[],2,FALSE),"NO PROFILE")</f>
        <v>Pinched Pockets</v>
      </c>
      <c r="H189">
        <v>8113.14</v>
      </c>
      <c r="I189">
        <v>1522</v>
      </c>
    </row>
    <row r="190" spans="1:9" x14ac:dyDescent="0.25">
      <c r="A190" t="s">
        <v>7</v>
      </c>
      <c r="B190" t="str">
        <f>VLOOKUP(Simulated_Dept_Data[[#This Row],[DepartmentID]],Table578[],2,FALSE)</f>
        <v>Cowboy Hats</v>
      </c>
      <c r="C190">
        <v>2023</v>
      </c>
      <c r="D190">
        <v>2</v>
      </c>
      <c r="E190" t="str">
        <f>VLOOKUP(Simulated_Dept_Data[[#This Row],[SegmentID]],Table5[],2,FALSE)</f>
        <v>Core Customers</v>
      </c>
      <c r="F190">
        <v>6</v>
      </c>
      <c r="G190" t="str">
        <f>IFERROR(VLOOKUP(Simulated_Dept_Data[[#This Row],[ProfileID]],Table57[],2,FALSE),"NO PROFILE")</f>
        <v>Normal Families</v>
      </c>
      <c r="H190">
        <v>4883.1099999999997</v>
      </c>
      <c r="I190">
        <v>1181</v>
      </c>
    </row>
    <row r="191" spans="1:9" x14ac:dyDescent="0.25">
      <c r="A191" t="s">
        <v>7</v>
      </c>
      <c r="B191" t="str">
        <f>VLOOKUP(Simulated_Dept_Data[[#This Row],[DepartmentID]],Table578[],2,FALSE)</f>
        <v>Cowboy Hats</v>
      </c>
      <c r="C191">
        <v>2023</v>
      </c>
      <c r="D191">
        <v>3</v>
      </c>
      <c r="E191" t="str">
        <f>VLOOKUP(Simulated_Dept_Data[[#This Row],[SegmentID]],Table5[],2,FALSE)</f>
        <v>Power Shoppers</v>
      </c>
      <c r="G191" t="str">
        <f>IFERROR(VLOOKUP(Simulated_Dept_Data[[#This Row],[ProfileID]],Table57[],2,FALSE),"NO PROFILE")</f>
        <v>NO PROFILE</v>
      </c>
      <c r="H191">
        <v>12989.77</v>
      </c>
      <c r="I191">
        <v>1924</v>
      </c>
    </row>
    <row r="192" spans="1:9" x14ac:dyDescent="0.25">
      <c r="A192" t="s">
        <v>7</v>
      </c>
      <c r="B192" t="str">
        <f>VLOOKUP(Simulated_Dept_Data[[#This Row],[DepartmentID]],Table578[],2,FALSE)</f>
        <v>Cowboy Hats</v>
      </c>
      <c r="C192">
        <v>2023</v>
      </c>
      <c r="D192">
        <v>3</v>
      </c>
      <c r="E192" t="str">
        <f>VLOOKUP(Simulated_Dept_Data[[#This Row],[SegmentID]],Table5[],2,FALSE)</f>
        <v>Power Shoppers</v>
      </c>
      <c r="F192">
        <v>1</v>
      </c>
      <c r="G192" t="str">
        <f>IFERROR(VLOOKUP(Simulated_Dept_Data[[#This Row],[ProfileID]],Table57[],2,FALSE),"NO PROFILE")</f>
        <v>City Slickers</v>
      </c>
      <c r="H192">
        <v>62206.39</v>
      </c>
      <c r="I192">
        <v>4210</v>
      </c>
    </row>
    <row r="193" spans="1:9" x14ac:dyDescent="0.25">
      <c r="A193" t="s">
        <v>7</v>
      </c>
      <c r="B193" t="str">
        <f>VLOOKUP(Simulated_Dept_Data[[#This Row],[DepartmentID]],Table578[],2,FALSE)</f>
        <v>Cowboy Hats</v>
      </c>
      <c r="C193">
        <v>2023</v>
      </c>
      <c r="D193">
        <v>3</v>
      </c>
      <c r="E193" t="str">
        <f>VLOOKUP(Simulated_Dept_Data[[#This Row],[SegmentID]],Table5[],2,FALSE)</f>
        <v>Power Shoppers</v>
      </c>
      <c r="F193">
        <v>2</v>
      </c>
      <c r="G193" t="str">
        <f>IFERROR(VLOOKUP(Simulated_Dept_Data[[#This Row],[ProfileID]],Table57[],2,FALSE),"NO PROFILE")</f>
        <v>Rich &amp; Richer</v>
      </c>
      <c r="H193">
        <v>8498.84</v>
      </c>
      <c r="I193">
        <v>1556</v>
      </c>
    </row>
    <row r="194" spans="1:9" x14ac:dyDescent="0.25">
      <c r="A194" t="s">
        <v>7</v>
      </c>
      <c r="B194" t="str">
        <f>VLOOKUP(Simulated_Dept_Data[[#This Row],[DepartmentID]],Table578[],2,FALSE)</f>
        <v>Cowboy Hats</v>
      </c>
      <c r="C194">
        <v>2023</v>
      </c>
      <c r="D194">
        <v>3</v>
      </c>
      <c r="E194" t="str">
        <f>VLOOKUP(Simulated_Dept_Data[[#This Row],[SegmentID]],Table5[],2,FALSE)</f>
        <v>Power Shoppers</v>
      </c>
      <c r="F194">
        <v>3</v>
      </c>
      <c r="G194" t="str">
        <f>IFERROR(VLOOKUP(Simulated_Dept_Data[[#This Row],[ProfileID]],Table57[],2,FALSE),"NO PROFILE")</f>
        <v>Mr. &amp; Mrs. Smiths</v>
      </c>
      <c r="H194">
        <v>1218.33</v>
      </c>
      <c r="I194">
        <v>589</v>
      </c>
    </row>
    <row r="195" spans="1:9" x14ac:dyDescent="0.25">
      <c r="A195" t="s">
        <v>7</v>
      </c>
      <c r="B195" t="str">
        <f>VLOOKUP(Simulated_Dept_Data[[#This Row],[DepartmentID]],Table578[],2,FALSE)</f>
        <v>Cowboy Hats</v>
      </c>
      <c r="C195">
        <v>2023</v>
      </c>
      <c r="D195">
        <v>3</v>
      </c>
      <c r="E195" t="str">
        <f>VLOOKUP(Simulated_Dept_Data[[#This Row],[SegmentID]],Table5[],2,FALSE)</f>
        <v>Power Shoppers</v>
      </c>
      <c r="F195">
        <v>4</v>
      </c>
      <c r="G195" t="str">
        <f>IFERROR(VLOOKUP(Simulated_Dept_Data[[#This Row],[ProfileID]],Table57[],2,FALSE),"NO PROFILE")</f>
        <v>Blue Collar Royalty</v>
      </c>
      <c r="H195">
        <v>36587.599999999999</v>
      </c>
      <c r="I195">
        <v>3229</v>
      </c>
    </row>
    <row r="196" spans="1:9" x14ac:dyDescent="0.25">
      <c r="A196" t="s">
        <v>7</v>
      </c>
      <c r="B196" t="str">
        <f>VLOOKUP(Simulated_Dept_Data[[#This Row],[DepartmentID]],Table578[],2,FALSE)</f>
        <v>Cowboy Hats</v>
      </c>
      <c r="C196">
        <v>2023</v>
      </c>
      <c r="D196">
        <v>3</v>
      </c>
      <c r="E196" t="str">
        <f>VLOOKUP(Simulated_Dept_Data[[#This Row],[SegmentID]],Table5[],2,FALSE)</f>
        <v>Power Shoppers</v>
      </c>
      <c r="F196">
        <v>5</v>
      </c>
      <c r="G196" t="str">
        <f>IFERROR(VLOOKUP(Simulated_Dept_Data[[#This Row],[ProfileID]],Table57[],2,FALSE),"NO PROFILE")</f>
        <v>Pinched Pockets</v>
      </c>
      <c r="H196">
        <v>13200.37</v>
      </c>
      <c r="I196">
        <v>1939</v>
      </c>
    </row>
    <row r="197" spans="1:9" x14ac:dyDescent="0.25">
      <c r="A197" t="s">
        <v>7</v>
      </c>
      <c r="B197" t="str">
        <f>VLOOKUP(Simulated_Dept_Data[[#This Row],[DepartmentID]],Table578[],2,FALSE)</f>
        <v>Cowboy Hats</v>
      </c>
      <c r="C197">
        <v>2023</v>
      </c>
      <c r="D197">
        <v>3</v>
      </c>
      <c r="E197" t="str">
        <f>VLOOKUP(Simulated_Dept_Data[[#This Row],[SegmentID]],Table5[],2,FALSE)</f>
        <v>Power Shoppers</v>
      </c>
      <c r="F197">
        <v>6</v>
      </c>
      <c r="G197" t="str">
        <f>IFERROR(VLOOKUP(Simulated_Dept_Data[[#This Row],[ProfileID]],Table57[],2,FALSE),"NO PROFILE")</f>
        <v>Normal Families</v>
      </c>
      <c r="H197">
        <v>382.58</v>
      </c>
      <c r="I197">
        <v>330</v>
      </c>
    </row>
    <row r="198" spans="1:9" x14ac:dyDescent="0.25">
      <c r="A198" t="s">
        <v>7</v>
      </c>
      <c r="B198" t="str">
        <f>VLOOKUP(Simulated_Dept_Data[[#This Row],[DepartmentID]],Table578[],2,FALSE)</f>
        <v>Cowboy Hats</v>
      </c>
      <c r="C198">
        <v>2023</v>
      </c>
      <c r="D198">
        <v>4</v>
      </c>
      <c r="E198" t="str">
        <f>VLOOKUP(Simulated_Dept_Data[[#This Row],[SegmentID]],Table5[],2,FALSE)</f>
        <v>Infrequent Customers</v>
      </c>
      <c r="G198" t="str">
        <f>IFERROR(VLOOKUP(Simulated_Dept_Data[[#This Row],[ProfileID]],Table57[],2,FALSE),"NO PROFILE")</f>
        <v>NO PROFILE</v>
      </c>
      <c r="H198">
        <v>20179.189999999999</v>
      </c>
      <c r="I198">
        <v>2300</v>
      </c>
    </row>
    <row r="199" spans="1:9" x14ac:dyDescent="0.25">
      <c r="A199" t="s">
        <v>7</v>
      </c>
      <c r="B199" t="str">
        <f>VLOOKUP(Simulated_Dept_Data[[#This Row],[DepartmentID]],Table578[],2,FALSE)</f>
        <v>Cowboy Hats</v>
      </c>
      <c r="C199">
        <v>2023</v>
      </c>
      <c r="D199">
        <v>4</v>
      </c>
      <c r="E199" t="str">
        <f>VLOOKUP(Simulated_Dept_Data[[#This Row],[SegmentID]],Table5[],2,FALSE)</f>
        <v>Infrequent Customers</v>
      </c>
      <c r="F199">
        <v>1</v>
      </c>
      <c r="G199" t="str">
        <f>IFERROR(VLOOKUP(Simulated_Dept_Data[[#This Row],[ProfileID]],Table57[],2,FALSE),"NO PROFILE")</f>
        <v>City Slickers</v>
      </c>
      <c r="H199">
        <v>81168.240000000005</v>
      </c>
      <c r="I199">
        <v>4613</v>
      </c>
    </row>
    <row r="200" spans="1:9" x14ac:dyDescent="0.25">
      <c r="A200" t="s">
        <v>7</v>
      </c>
      <c r="B200" t="str">
        <f>VLOOKUP(Simulated_Dept_Data[[#This Row],[DepartmentID]],Table578[],2,FALSE)</f>
        <v>Cowboy Hats</v>
      </c>
      <c r="C200">
        <v>2023</v>
      </c>
      <c r="D200">
        <v>4</v>
      </c>
      <c r="E200" t="str">
        <f>VLOOKUP(Simulated_Dept_Data[[#This Row],[SegmentID]],Table5[],2,FALSE)</f>
        <v>Infrequent Customers</v>
      </c>
      <c r="F200">
        <v>2</v>
      </c>
      <c r="G200" t="str">
        <f>IFERROR(VLOOKUP(Simulated_Dept_Data[[#This Row],[ProfileID]],Table57[],2,FALSE),"NO PROFILE")</f>
        <v>Rich &amp; Richer</v>
      </c>
      <c r="H200">
        <v>1893.35</v>
      </c>
      <c r="I200">
        <v>704</v>
      </c>
    </row>
    <row r="201" spans="1:9" x14ac:dyDescent="0.25">
      <c r="A201" t="s">
        <v>7</v>
      </c>
      <c r="B201" t="str">
        <f>VLOOKUP(Simulated_Dept_Data[[#This Row],[DepartmentID]],Table578[],2,FALSE)</f>
        <v>Cowboy Hats</v>
      </c>
      <c r="C201">
        <v>2023</v>
      </c>
      <c r="D201">
        <v>4</v>
      </c>
      <c r="E201" t="str">
        <f>VLOOKUP(Simulated_Dept_Data[[#This Row],[SegmentID]],Table5[],2,FALSE)</f>
        <v>Infrequent Customers</v>
      </c>
      <c r="F201">
        <v>3</v>
      </c>
      <c r="G201" t="str">
        <f>IFERROR(VLOOKUP(Simulated_Dept_Data[[#This Row],[ProfileID]],Table57[],2,FALSE),"NO PROFILE")</f>
        <v>Mr. &amp; Mrs. Smiths</v>
      </c>
      <c r="H201">
        <v>16009.04</v>
      </c>
      <c r="I201">
        <v>2049</v>
      </c>
    </row>
    <row r="202" spans="1:9" x14ac:dyDescent="0.25">
      <c r="A202" t="s">
        <v>7</v>
      </c>
      <c r="B202" t="str">
        <f>VLOOKUP(Simulated_Dept_Data[[#This Row],[DepartmentID]],Table578[],2,FALSE)</f>
        <v>Cowboy Hats</v>
      </c>
      <c r="C202">
        <v>2023</v>
      </c>
      <c r="D202">
        <v>4</v>
      </c>
      <c r="E202" t="str">
        <f>VLOOKUP(Simulated_Dept_Data[[#This Row],[SegmentID]],Table5[],2,FALSE)</f>
        <v>Infrequent Customers</v>
      </c>
      <c r="F202">
        <v>4</v>
      </c>
      <c r="G202" t="str">
        <f>IFERROR(VLOOKUP(Simulated_Dept_Data[[#This Row],[ProfileID]],Table57[],2,FALSE),"NO PROFILE")</f>
        <v>Blue Collar Royalty</v>
      </c>
      <c r="H202">
        <v>75685.37</v>
      </c>
      <c r="I202">
        <v>4454</v>
      </c>
    </row>
    <row r="203" spans="1:9" x14ac:dyDescent="0.25">
      <c r="A203" t="s">
        <v>7</v>
      </c>
      <c r="B203" t="str">
        <f>VLOOKUP(Simulated_Dept_Data[[#This Row],[DepartmentID]],Table578[],2,FALSE)</f>
        <v>Cowboy Hats</v>
      </c>
      <c r="C203">
        <v>2023</v>
      </c>
      <c r="D203">
        <v>4</v>
      </c>
      <c r="E203" t="str">
        <f>VLOOKUP(Simulated_Dept_Data[[#This Row],[SegmentID]],Table5[],2,FALSE)</f>
        <v>Infrequent Customers</v>
      </c>
      <c r="F203">
        <v>5</v>
      </c>
      <c r="G203" t="str">
        <f>IFERROR(VLOOKUP(Simulated_Dept_Data[[#This Row],[ProfileID]],Table57[],2,FALSE),"NO PROFILE")</f>
        <v>Pinched Pockets</v>
      </c>
      <c r="H203">
        <v>161.12</v>
      </c>
      <c r="I203">
        <v>206</v>
      </c>
    </row>
    <row r="204" spans="1:9" x14ac:dyDescent="0.25">
      <c r="A204" t="s">
        <v>7</v>
      </c>
      <c r="B204" t="str">
        <f>VLOOKUP(Simulated_Dept_Data[[#This Row],[DepartmentID]],Table578[],2,FALSE)</f>
        <v>Cowboy Hats</v>
      </c>
      <c r="C204">
        <v>2023</v>
      </c>
      <c r="D204">
        <v>4</v>
      </c>
      <c r="E204" t="str">
        <f>VLOOKUP(Simulated_Dept_Data[[#This Row],[SegmentID]],Table5[],2,FALSE)</f>
        <v>Infrequent Customers</v>
      </c>
      <c r="F204">
        <v>6</v>
      </c>
      <c r="G204" t="str">
        <f>IFERROR(VLOOKUP(Simulated_Dept_Data[[#This Row],[ProfileID]],Table57[],2,FALSE),"NO PROFILE")</f>
        <v>Normal Families</v>
      </c>
      <c r="H204">
        <v>8137.5</v>
      </c>
      <c r="I204">
        <v>1461</v>
      </c>
    </row>
    <row r="205" spans="1:9" x14ac:dyDescent="0.25">
      <c r="A205" t="s">
        <v>7</v>
      </c>
      <c r="B205" t="str">
        <f>VLOOKUP(Simulated_Dept_Data[[#This Row],[DepartmentID]],Table578[],2,FALSE)</f>
        <v>Cowboy Hats</v>
      </c>
      <c r="C205">
        <v>2023</v>
      </c>
      <c r="D205">
        <v>5</v>
      </c>
      <c r="E205" t="str">
        <f>VLOOKUP(Simulated_Dept_Data[[#This Row],[SegmentID]],Table5[],2,FALSE)</f>
        <v>New Customers</v>
      </c>
      <c r="G205" t="str">
        <f>IFERROR(VLOOKUP(Simulated_Dept_Data[[#This Row],[ProfileID]],Table57[],2,FALSE),"NO PROFILE")</f>
        <v>NO PROFILE</v>
      </c>
      <c r="H205">
        <v>97762.5</v>
      </c>
      <c r="I205">
        <v>5057</v>
      </c>
    </row>
    <row r="206" spans="1:9" x14ac:dyDescent="0.25">
      <c r="A206" t="s">
        <v>7</v>
      </c>
      <c r="B206" t="str">
        <f>VLOOKUP(Simulated_Dept_Data[[#This Row],[DepartmentID]],Table578[],2,FALSE)</f>
        <v>Cowboy Hats</v>
      </c>
      <c r="C206">
        <v>2023</v>
      </c>
      <c r="D206">
        <v>5</v>
      </c>
      <c r="E206" t="str">
        <f>VLOOKUP(Simulated_Dept_Data[[#This Row],[SegmentID]],Table5[],2,FALSE)</f>
        <v>New Customers</v>
      </c>
      <c r="F206">
        <v>1</v>
      </c>
      <c r="G206" t="str">
        <f>IFERROR(VLOOKUP(Simulated_Dept_Data[[#This Row],[ProfileID]],Table57[],2,FALSE),"NO PROFILE")</f>
        <v>City Slickers</v>
      </c>
      <c r="H206">
        <v>32967.230000000003</v>
      </c>
      <c r="I206">
        <v>2936</v>
      </c>
    </row>
    <row r="207" spans="1:9" x14ac:dyDescent="0.25">
      <c r="A207" t="s">
        <v>7</v>
      </c>
      <c r="B207" t="str">
        <f>VLOOKUP(Simulated_Dept_Data[[#This Row],[DepartmentID]],Table578[],2,FALSE)</f>
        <v>Cowboy Hats</v>
      </c>
      <c r="C207">
        <v>2023</v>
      </c>
      <c r="D207">
        <v>5</v>
      </c>
      <c r="E207" t="str">
        <f>VLOOKUP(Simulated_Dept_Data[[#This Row],[SegmentID]],Table5[],2,FALSE)</f>
        <v>New Customers</v>
      </c>
      <c r="F207">
        <v>2</v>
      </c>
      <c r="G207" t="str">
        <f>IFERROR(VLOOKUP(Simulated_Dept_Data[[#This Row],[ProfileID]],Table57[],2,FALSE),"NO PROFILE")</f>
        <v>Rich &amp; Richer</v>
      </c>
      <c r="H207">
        <v>70855.91</v>
      </c>
      <c r="I207">
        <v>4305</v>
      </c>
    </row>
    <row r="208" spans="1:9" x14ac:dyDescent="0.25">
      <c r="A208" t="s">
        <v>7</v>
      </c>
      <c r="B208" t="str">
        <f>VLOOKUP(Simulated_Dept_Data[[#This Row],[DepartmentID]],Table578[],2,FALSE)</f>
        <v>Cowboy Hats</v>
      </c>
      <c r="C208">
        <v>2023</v>
      </c>
      <c r="D208">
        <v>5</v>
      </c>
      <c r="E208" t="str">
        <f>VLOOKUP(Simulated_Dept_Data[[#This Row],[SegmentID]],Table5[],2,FALSE)</f>
        <v>New Customers</v>
      </c>
      <c r="F208">
        <v>3</v>
      </c>
      <c r="G208" t="str">
        <f>IFERROR(VLOOKUP(Simulated_Dept_Data[[#This Row],[ProfileID]],Table57[],2,FALSE),"NO PROFILE")</f>
        <v>Mr. &amp; Mrs. Smiths</v>
      </c>
      <c r="H208">
        <v>108391.65</v>
      </c>
      <c r="I208">
        <v>5324</v>
      </c>
    </row>
    <row r="209" spans="1:9" x14ac:dyDescent="0.25">
      <c r="A209" t="s">
        <v>7</v>
      </c>
      <c r="B209" t="str">
        <f>VLOOKUP(Simulated_Dept_Data[[#This Row],[DepartmentID]],Table578[],2,FALSE)</f>
        <v>Cowboy Hats</v>
      </c>
      <c r="C209">
        <v>2023</v>
      </c>
      <c r="D209">
        <v>5</v>
      </c>
      <c r="E209" t="str">
        <f>VLOOKUP(Simulated_Dept_Data[[#This Row],[SegmentID]],Table5[],2,FALSE)</f>
        <v>New Customers</v>
      </c>
      <c r="F209">
        <v>4</v>
      </c>
      <c r="G209" t="str">
        <f>IFERROR(VLOOKUP(Simulated_Dept_Data[[#This Row],[ProfileID]],Table57[],2,FALSE),"NO PROFILE")</f>
        <v>Blue Collar Royalty</v>
      </c>
      <c r="H209">
        <v>135.1</v>
      </c>
      <c r="I209">
        <v>188</v>
      </c>
    </row>
    <row r="210" spans="1:9" x14ac:dyDescent="0.25">
      <c r="A210" t="s">
        <v>7</v>
      </c>
      <c r="B210" t="str">
        <f>VLOOKUP(Simulated_Dept_Data[[#This Row],[DepartmentID]],Table578[],2,FALSE)</f>
        <v>Cowboy Hats</v>
      </c>
      <c r="C210">
        <v>2023</v>
      </c>
      <c r="D210">
        <v>5</v>
      </c>
      <c r="E210" t="str">
        <f>VLOOKUP(Simulated_Dept_Data[[#This Row],[SegmentID]],Table5[],2,FALSE)</f>
        <v>New Customers</v>
      </c>
      <c r="F210">
        <v>5</v>
      </c>
      <c r="G210" t="str">
        <f>IFERROR(VLOOKUP(Simulated_Dept_Data[[#This Row],[ProfileID]],Table57[],2,FALSE),"NO PROFILE")</f>
        <v>Pinched Pockets</v>
      </c>
      <c r="H210">
        <v>164.75</v>
      </c>
      <c r="I210">
        <v>208</v>
      </c>
    </row>
    <row r="211" spans="1:9" x14ac:dyDescent="0.25">
      <c r="A211" t="s">
        <v>7</v>
      </c>
      <c r="B211" t="str">
        <f>VLOOKUP(Simulated_Dept_Data[[#This Row],[DepartmentID]],Table578[],2,FALSE)</f>
        <v>Cowboy Hats</v>
      </c>
      <c r="C211">
        <v>2023</v>
      </c>
      <c r="D211">
        <v>5</v>
      </c>
      <c r="E211" t="str">
        <f>VLOOKUP(Simulated_Dept_Data[[#This Row],[SegmentID]],Table5[],2,FALSE)</f>
        <v>New Customers</v>
      </c>
      <c r="F211">
        <v>6</v>
      </c>
      <c r="G211" t="str">
        <f>IFERROR(VLOOKUP(Simulated_Dept_Data[[#This Row],[ProfileID]],Table57[],2,FALSE),"NO PROFILE")</f>
        <v>Normal Families</v>
      </c>
      <c r="H211">
        <v>822.97</v>
      </c>
      <c r="I211">
        <v>464</v>
      </c>
    </row>
    <row r="212" spans="1:9" x14ac:dyDescent="0.25">
      <c r="A212" t="s">
        <v>8</v>
      </c>
      <c r="B212" t="str">
        <f>VLOOKUP(Simulated_Dept_Data[[#This Row],[DepartmentID]],Table578[],2,FALSE)</f>
        <v>Boots</v>
      </c>
      <c r="C212">
        <v>2022</v>
      </c>
      <c r="D212">
        <v>1</v>
      </c>
      <c r="E212" t="str">
        <f>VLOOKUP(Simulated_Dept_Data[[#This Row],[SegmentID]],Table5[],2,FALSE)</f>
        <v>Elite Customers</v>
      </c>
      <c r="G212" t="str">
        <f>IFERROR(VLOOKUP(Simulated_Dept_Data[[#This Row],[ProfileID]],Table57[],2,FALSE),"NO PROFILE")</f>
        <v>NO PROFILE</v>
      </c>
      <c r="H212">
        <v>0</v>
      </c>
      <c r="I212">
        <v>3</v>
      </c>
    </row>
    <row r="213" spans="1:9" x14ac:dyDescent="0.25">
      <c r="A213" t="s">
        <v>8</v>
      </c>
      <c r="B213" t="str">
        <f>VLOOKUP(Simulated_Dept_Data[[#This Row],[DepartmentID]],Table578[],2,FALSE)</f>
        <v>Boots</v>
      </c>
      <c r="C213">
        <v>2022</v>
      </c>
      <c r="D213">
        <v>1</v>
      </c>
      <c r="E213" t="str">
        <f>VLOOKUP(Simulated_Dept_Data[[#This Row],[SegmentID]],Table5[],2,FALSE)</f>
        <v>Elite Customers</v>
      </c>
      <c r="F213">
        <v>1</v>
      </c>
      <c r="G213" t="str">
        <f>IFERROR(VLOOKUP(Simulated_Dept_Data[[#This Row],[ProfileID]],Table57[],2,FALSE),"NO PROFILE")</f>
        <v>City Slickers</v>
      </c>
      <c r="H213">
        <v>0.01</v>
      </c>
      <c r="I213">
        <v>5</v>
      </c>
    </row>
    <row r="214" spans="1:9" x14ac:dyDescent="0.25">
      <c r="A214" t="s">
        <v>8</v>
      </c>
      <c r="B214" t="str">
        <f>VLOOKUP(Simulated_Dept_Data[[#This Row],[DepartmentID]],Table578[],2,FALSE)</f>
        <v>Boots</v>
      </c>
      <c r="C214">
        <v>2022</v>
      </c>
      <c r="D214">
        <v>1</v>
      </c>
      <c r="E214" t="str">
        <f>VLOOKUP(Simulated_Dept_Data[[#This Row],[SegmentID]],Table5[],2,FALSE)</f>
        <v>Elite Customers</v>
      </c>
      <c r="F214">
        <v>2</v>
      </c>
      <c r="G214" t="str">
        <f>IFERROR(VLOOKUP(Simulated_Dept_Data[[#This Row],[ProfileID]],Table57[],2,FALSE),"NO PROFILE")</f>
        <v>Rich &amp; Richer</v>
      </c>
      <c r="H214">
        <v>0.01</v>
      </c>
      <c r="I214">
        <v>5</v>
      </c>
    </row>
    <row r="215" spans="1:9" x14ac:dyDescent="0.25">
      <c r="A215" t="s">
        <v>8</v>
      </c>
      <c r="B215" t="str">
        <f>VLOOKUP(Simulated_Dept_Data[[#This Row],[DepartmentID]],Table578[],2,FALSE)</f>
        <v>Boots</v>
      </c>
      <c r="C215">
        <v>2022</v>
      </c>
      <c r="D215">
        <v>1</v>
      </c>
      <c r="E215" t="str">
        <f>VLOOKUP(Simulated_Dept_Data[[#This Row],[SegmentID]],Table5[],2,FALSE)</f>
        <v>Elite Customers</v>
      </c>
      <c r="F215">
        <v>3</v>
      </c>
      <c r="G215" t="str">
        <f>IFERROR(VLOOKUP(Simulated_Dept_Data[[#This Row],[ProfileID]],Table57[],2,FALSE),"NO PROFILE")</f>
        <v>Mr. &amp; Mrs. Smiths</v>
      </c>
      <c r="H215">
        <v>0.01</v>
      </c>
      <c r="I215">
        <v>5</v>
      </c>
    </row>
    <row r="216" spans="1:9" x14ac:dyDescent="0.25">
      <c r="A216" t="s">
        <v>8</v>
      </c>
      <c r="B216" t="str">
        <f>VLOOKUP(Simulated_Dept_Data[[#This Row],[DepartmentID]],Table578[],2,FALSE)</f>
        <v>Boots</v>
      </c>
      <c r="C216">
        <v>2022</v>
      </c>
      <c r="D216">
        <v>1</v>
      </c>
      <c r="E216" t="str">
        <f>VLOOKUP(Simulated_Dept_Data[[#This Row],[SegmentID]],Table5[],2,FALSE)</f>
        <v>Elite Customers</v>
      </c>
      <c r="F216">
        <v>4</v>
      </c>
      <c r="G216" t="str">
        <f>IFERROR(VLOOKUP(Simulated_Dept_Data[[#This Row],[ProfileID]],Table57[],2,FALSE),"NO PROFILE")</f>
        <v>Blue Collar Royalty</v>
      </c>
      <c r="H216">
        <v>0</v>
      </c>
      <c r="I216">
        <v>3</v>
      </c>
    </row>
    <row r="217" spans="1:9" x14ac:dyDescent="0.25">
      <c r="A217" t="s">
        <v>8</v>
      </c>
      <c r="B217" t="str">
        <f>VLOOKUP(Simulated_Dept_Data[[#This Row],[DepartmentID]],Table578[],2,FALSE)</f>
        <v>Boots</v>
      </c>
      <c r="C217">
        <v>2022</v>
      </c>
      <c r="D217">
        <v>1</v>
      </c>
      <c r="E217" t="str">
        <f>VLOOKUP(Simulated_Dept_Data[[#This Row],[SegmentID]],Table5[],2,FALSE)</f>
        <v>Elite Customers</v>
      </c>
      <c r="F217">
        <v>5</v>
      </c>
      <c r="G217" t="str">
        <f>IFERROR(VLOOKUP(Simulated_Dept_Data[[#This Row],[ProfileID]],Table57[],2,FALSE),"NO PROFILE")</f>
        <v>Pinched Pockets</v>
      </c>
      <c r="H217">
        <v>0.02</v>
      </c>
      <c r="I217">
        <v>6</v>
      </c>
    </row>
    <row r="218" spans="1:9" x14ac:dyDescent="0.25">
      <c r="A218" t="s">
        <v>8</v>
      </c>
      <c r="B218" t="str">
        <f>VLOOKUP(Simulated_Dept_Data[[#This Row],[DepartmentID]],Table578[],2,FALSE)</f>
        <v>Boots</v>
      </c>
      <c r="C218">
        <v>2022</v>
      </c>
      <c r="D218">
        <v>1</v>
      </c>
      <c r="E218" t="str">
        <f>VLOOKUP(Simulated_Dept_Data[[#This Row],[SegmentID]],Table5[],2,FALSE)</f>
        <v>Elite Customers</v>
      </c>
      <c r="F218">
        <v>6</v>
      </c>
      <c r="G218" t="str">
        <f>IFERROR(VLOOKUP(Simulated_Dept_Data[[#This Row],[ProfileID]],Table57[],2,FALSE),"NO PROFILE")</f>
        <v>Normal Families</v>
      </c>
      <c r="H218">
        <v>0</v>
      </c>
      <c r="I218">
        <v>2</v>
      </c>
    </row>
    <row r="219" spans="1:9" x14ac:dyDescent="0.25">
      <c r="A219" t="s">
        <v>8</v>
      </c>
      <c r="B219" t="str">
        <f>VLOOKUP(Simulated_Dept_Data[[#This Row],[DepartmentID]],Table578[],2,FALSE)</f>
        <v>Boots</v>
      </c>
      <c r="C219">
        <v>2022</v>
      </c>
      <c r="D219">
        <v>2</v>
      </c>
      <c r="E219" t="str">
        <f>VLOOKUP(Simulated_Dept_Data[[#This Row],[SegmentID]],Table5[],2,FALSE)</f>
        <v>Core Customers</v>
      </c>
      <c r="G219" t="str">
        <f>IFERROR(VLOOKUP(Simulated_Dept_Data[[#This Row],[ProfileID]],Table57[],2,FALSE),"NO PROFILE")</f>
        <v>NO PROFILE</v>
      </c>
      <c r="H219">
        <v>0.02</v>
      </c>
      <c r="I219">
        <v>5</v>
      </c>
    </row>
    <row r="220" spans="1:9" x14ac:dyDescent="0.25">
      <c r="A220" t="s">
        <v>8</v>
      </c>
      <c r="B220" t="str">
        <f>VLOOKUP(Simulated_Dept_Data[[#This Row],[DepartmentID]],Table578[],2,FALSE)</f>
        <v>Boots</v>
      </c>
      <c r="C220">
        <v>2022</v>
      </c>
      <c r="D220">
        <v>2</v>
      </c>
      <c r="E220" t="str">
        <f>VLOOKUP(Simulated_Dept_Data[[#This Row],[SegmentID]],Table5[],2,FALSE)</f>
        <v>Core Customers</v>
      </c>
      <c r="F220">
        <v>1</v>
      </c>
      <c r="G220" t="str">
        <f>IFERROR(VLOOKUP(Simulated_Dept_Data[[#This Row],[ProfileID]],Table57[],2,FALSE),"NO PROFILE")</f>
        <v>City Slickers</v>
      </c>
      <c r="H220">
        <v>0</v>
      </c>
      <c r="I220">
        <v>2</v>
      </c>
    </row>
    <row r="221" spans="1:9" x14ac:dyDescent="0.25">
      <c r="A221" t="s">
        <v>8</v>
      </c>
      <c r="B221" t="str">
        <f>VLOOKUP(Simulated_Dept_Data[[#This Row],[DepartmentID]],Table578[],2,FALSE)</f>
        <v>Boots</v>
      </c>
      <c r="C221">
        <v>2022</v>
      </c>
      <c r="D221">
        <v>2</v>
      </c>
      <c r="E221" t="str">
        <f>VLOOKUP(Simulated_Dept_Data[[#This Row],[SegmentID]],Table5[],2,FALSE)</f>
        <v>Core Customers</v>
      </c>
      <c r="F221">
        <v>2</v>
      </c>
      <c r="G221" t="str">
        <f>IFERROR(VLOOKUP(Simulated_Dept_Data[[#This Row],[ProfileID]],Table57[],2,FALSE),"NO PROFILE")</f>
        <v>Rich &amp; Richer</v>
      </c>
      <c r="H221">
        <v>0.01</v>
      </c>
      <c r="I221">
        <v>3</v>
      </c>
    </row>
    <row r="222" spans="1:9" x14ac:dyDescent="0.25">
      <c r="A222" t="s">
        <v>8</v>
      </c>
      <c r="B222" t="str">
        <f>VLOOKUP(Simulated_Dept_Data[[#This Row],[DepartmentID]],Table578[],2,FALSE)</f>
        <v>Boots</v>
      </c>
      <c r="C222">
        <v>2022</v>
      </c>
      <c r="D222">
        <v>2</v>
      </c>
      <c r="E222" t="str">
        <f>VLOOKUP(Simulated_Dept_Data[[#This Row],[SegmentID]],Table5[],2,FALSE)</f>
        <v>Core Customers</v>
      </c>
      <c r="F222">
        <v>3</v>
      </c>
      <c r="G222" t="str">
        <f>IFERROR(VLOOKUP(Simulated_Dept_Data[[#This Row],[ProfileID]],Table57[],2,FALSE),"NO PROFILE")</f>
        <v>Mr. &amp; Mrs. Smiths</v>
      </c>
      <c r="H222">
        <v>0.01</v>
      </c>
      <c r="I222">
        <v>5</v>
      </c>
    </row>
    <row r="223" spans="1:9" x14ac:dyDescent="0.25">
      <c r="A223" t="s">
        <v>8</v>
      </c>
      <c r="B223" t="str">
        <f>VLOOKUP(Simulated_Dept_Data[[#This Row],[DepartmentID]],Table578[],2,FALSE)</f>
        <v>Boots</v>
      </c>
      <c r="C223">
        <v>2022</v>
      </c>
      <c r="D223">
        <v>2</v>
      </c>
      <c r="E223" t="str">
        <f>VLOOKUP(Simulated_Dept_Data[[#This Row],[SegmentID]],Table5[],2,FALSE)</f>
        <v>Core Customers</v>
      </c>
      <c r="F223">
        <v>4</v>
      </c>
      <c r="G223" t="str">
        <f>IFERROR(VLOOKUP(Simulated_Dept_Data[[#This Row],[ProfileID]],Table57[],2,FALSE),"NO PROFILE")</f>
        <v>Blue Collar Royalty</v>
      </c>
      <c r="H223">
        <v>0</v>
      </c>
      <c r="I223">
        <v>0</v>
      </c>
    </row>
    <row r="224" spans="1:9" x14ac:dyDescent="0.25">
      <c r="A224" t="s">
        <v>8</v>
      </c>
      <c r="B224" t="str">
        <f>VLOOKUP(Simulated_Dept_Data[[#This Row],[DepartmentID]],Table578[],2,FALSE)</f>
        <v>Boots</v>
      </c>
      <c r="C224">
        <v>2022</v>
      </c>
      <c r="D224">
        <v>2</v>
      </c>
      <c r="E224" t="str">
        <f>VLOOKUP(Simulated_Dept_Data[[#This Row],[SegmentID]],Table5[],2,FALSE)</f>
        <v>Core Customers</v>
      </c>
      <c r="F224">
        <v>5</v>
      </c>
      <c r="G224" t="str">
        <f>IFERROR(VLOOKUP(Simulated_Dept_Data[[#This Row],[ProfileID]],Table57[],2,FALSE),"NO PROFILE")</f>
        <v>Pinched Pockets</v>
      </c>
      <c r="H224">
        <v>0</v>
      </c>
      <c r="I224">
        <v>2</v>
      </c>
    </row>
    <row r="225" spans="1:9" x14ac:dyDescent="0.25">
      <c r="A225" t="s">
        <v>8</v>
      </c>
      <c r="B225" t="str">
        <f>VLOOKUP(Simulated_Dept_Data[[#This Row],[DepartmentID]],Table578[],2,FALSE)</f>
        <v>Boots</v>
      </c>
      <c r="C225">
        <v>2022</v>
      </c>
      <c r="D225">
        <v>2</v>
      </c>
      <c r="E225" t="str">
        <f>VLOOKUP(Simulated_Dept_Data[[#This Row],[SegmentID]],Table5[],2,FALSE)</f>
        <v>Core Customers</v>
      </c>
      <c r="F225">
        <v>6</v>
      </c>
      <c r="G225" t="str">
        <f>IFERROR(VLOOKUP(Simulated_Dept_Data[[#This Row],[ProfileID]],Table57[],2,FALSE),"NO PROFILE")</f>
        <v>Normal Families</v>
      </c>
      <c r="H225">
        <v>0</v>
      </c>
      <c r="I225">
        <v>2</v>
      </c>
    </row>
    <row r="226" spans="1:9" x14ac:dyDescent="0.25">
      <c r="A226" t="s">
        <v>8</v>
      </c>
      <c r="B226" t="str">
        <f>VLOOKUP(Simulated_Dept_Data[[#This Row],[DepartmentID]],Table578[],2,FALSE)</f>
        <v>Boots</v>
      </c>
      <c r="C226">
        <v>2022</v>
      </c>
      <c r="D226">
        <v>3</v>
      </c>
      <c r="E226" t="str">
        <f>VLOOKUP(Simulated_Dept_Data[[#This Row],[SegmentID]],Table5[],2,FALSE)</f>
        <v>Power Shoppers</v>
      </c>
      <c r="G226" t="str">
        <f>IFERROR(VLOOKUP(Simulated_Dept_Data[[#This Row],[ProfileID]],Table57[],2,FALSE),"NO PROFILE")</f>
        <v>NO PROFILE</v>
      </c>
      <c r="H226">
        <v>0</v>
      </c>
      <c r="I226">
        <v>2</v>
      </c>
    </row>
    <row r="227" spans="1:9" x14ac:dyDescent="0.25">
      <c r="A227" t="s">
        <v>8</v>
      </c>
      <c r="B227" t="str">
        <f>VLOOKUP(Simulated_Dept_Data[[#This Row],[DepartmentID]],Table578[],2,FALSE)</f>
        <v>Boots</v>
      </c>
      <c r="C227">
        <v>2022</v>
      </c>
      <c r="D227">
        <v>3</v>
      </c>
      <c r="E227" t="str">
        <f>VLOOKUP(Simulated_Dept_Data[[#This Row],[SegmentID]],Table5[],2,FALSE)</f>
        <v>Power Shoppers</v>
      </c>
      <c r="F227">
        <v>1</v>
      </c>
      <c r="G227" t="str">
        <f>IFERROR(VLOOKUP(Simulated_Dept_Data[[#This Row],[ProfileID]],Table57[],2,FALSE),"NO PROFILE")</f>
        <v>City Slickers</v>
      </c>
      <c r="H227">
        <v>0.02</v>
      </c>
      <c r="I227">
        <v>5</v>
      </c>
    </row>
    <row r="228" spans="1:9" x14ac:dyDescent="0.25">
      <c r="A228" t="s">
        <v>8</v>
      </c>
      <c r="B228" t="str">
        <f>VLOOKUP(Simulated_Dept_Data[[#This Row],[DepartmentID]],Table578[],2,FALSE)</f>
        <v>Boots</v>
      </c>
      <c r="C228">
        <v>2022</v>
      </c>
      <c r="D228">
        <v>3</v>
      </c>
      <c r="E228" t="str">
        <f>VLOOKUP(Simulated_Dept_Data[[#This Row],[SegmentID]],Table5[],2,FALSE)</f>
        <v>Power Shoppers</v>
      </c>
      <c r="F228">
        <v>2</v>
      </c>
      <c r="G228" t="str">
        <f>IFERROR(VLOOKUP(Simulated_Dept_Data[[#This Row],[ProfileID]],Table57[],2,FALSE),"NO PROFILE")</f>
        <v>Rich &amp; Richer</v>
      </c>
      <c r="H228">
        <v>0</v>
      </c>
      <c r="I228">
        <v>2</v>
      </c>
    </row>
    <row r="229" spans="1:9" x14ac:dyDescent="0.25">
      <c r="A229" t="s">
        <v>8</v>
      </c>
      <c r="B229" t="str">
        <f>VLOOKUP(Simulated_Dept_Data[[#This Row],[DepartmentID]],Table578[],2,FALSE)</f>
        <v>Boots</v>
      </c>
      <c r="C229">
        <v>2022</v>
      </c>
      <c r="D229">
        <v>3</v>
      </c>
      <c r="E229" t="str">
        <f>VLOOKUP(Simulated_Dept_Data[[#This Row],[SegmentID]],Table5[],2,FALSE)</f>
        <v>Power Shoppers</v>
      </c>
      <c r="F229">
        <v>3</v>
      </c>
      <c r="G229" t="str">
        <f>IFERROR(VLOOKUP(Simulated_Dept_Data[[#This Row],[ProfileID]],Table57[],2,FALSE),"NO PROFILE")</f>
        <v>Mr. &amp; Mrs. Smiths</v>
      </c>
      <c r="H229">
        <v>0</v>
      </c>
      <c r="I229">
        <v>1</v>
      </c>
    </row>
    <row r="230" spans="1:9" x14ac:dyDescent="0.25">
      <c r="A230" t="s">
        <v>8</v>
      </c>
      <c r="B230" t="str">
        <f>VLOOKUP(Simulated_Dept_Data[[#This Row],[DepartmentID]],Table578[],2,FALSE)</f>
        <v>Boots</v>
      </c>
      <c r="C230">
        <v>2022</v>
      </c>
      <c r="D230">
        <v>3</v>
      </c>
      <c r="E230" t="str">
        <f>VLOOKUP(Simulated_Dept_Data[[#This Row],[SegmentID]],Table5[],2,FALSE)</f>
        <v>Power Shoppers</v>
      </c>
      <c r="F230">
        <v>4</v>
      </c>
      <c r="G230" t="str">
        <f>IFERROR(VLOOKUP(Simulated_Dept_Data[[#This Row],[ProfileID]],Table57[],2,FALSE),"NO PROFILE")</f>
        <v>Blue Collar Royalty</v>
      </c>
      <c r="H230">
        <v>0.01</v>
      </c>
      <c r="I230">
        <v>4</v>
      </c>
    </row>
    <row r="231" spans="1:9" x14ac:dyDescent="0.25">
      <c r="A231" t="s">
        <v>8</v>
      </c>
      <c r="B231" t="str">
        <f>VLOOKUP(Simulated_Dept_Data[[#This Row],[DepartmentID]],Table578[],2,FALSE)</f>
        <v>Boots</v>
      </c>
      <c r="C231">
        <v>2022</v>
      </c>
      <c r="D231">
        <v>3</v>
      </c>
      <c r="E231" t="str">
        <f>VLOOKUP(Simulated_Dept_Data[[#This Row],[SegmentID]],Table5[],2,FALSE)</f>
        <v>Power Shoppers</v>
      </c>
      <c r="F231">
        <v>5</v>
      </c>
      <c r="G231" t="str">
        <f>IFERROR(VLOOKUP(Simulated_Dept_Data[[#This Row],[ProfileID]],Table57[],2,FALSE),"NO PROFILE")</f>
        <v>Pinched Pockets</v>
      </c>
      <c r="H231">
        <v>0</v>
      </c>
      <c r="I231">
        <v>2</v>
      </c>
    </row>
    <row r="232" spans="1:9" x14ac:dyDescent="0.25">
      <c r="A232" t="s">
        <v>8</v>
      </c>
      <c r="B232" t="str">
        <f>VLOOKUP(Simulated_Dept_Data[[#This Row],[DepartmentID]],Table578[],2,FALSE)</f>
        <v>Boots</v>
      </c>
      <c r="C232">
        <v>2022</v>
      </c>
      <c r="D232">
        <v>3</v>
      </c>
      <c r="E232" t="str">
        <f>VLOOKUP(Simulated_Dept_Data[[#This Row],[SegmentID]],Table5[],2,FALSE)</f>
        <v>Power Shoppers</v>
      </c>
      <c r="F232">
        <v>6</v>
      </c>
      <c r="G232" t="str">
        <f>IFERROR(VLOOKUP(Simulated_Dept_Data[[#This Row],[ProfileID]],Table57[],2,FALSE),"NO PROFILE")</f>
        <v>Normal Families</v>
      </c>
      <c r="H232">
        <v>0</v>
      </c>
      <c r="I232">
        <v>0</v>
      </c>
    </row>
    <row r="233" spans="1:9" x14ac:dyDescent="0.25">
      <c r="A233" t="s">
        <v>8</v>
      </c>
      <c r="B233" t="str">
        <f>VLOOKUP(Simulated_Dept_Data[[#This Row],[DepartmentID]],Table578[],2,FALSE)</f>
        <v>Boots</v>
      </c>
      <c r="C233">
        <v>2022</v>
      </c>
      <c r="D233">
        <v>4</v>
      </c>
      <c r="E233" t="str">
        <f>VLOOKUP(Simulated_Dept_Data[[#This Row],[SegmentID]],Table5[],2,FALSE)</f>
        <v>Infrequent Customers</v>
      </c>
      <c r="G233" t="str">
        <f>IFERROR(VLOOKUP(Simulated_Dept_Data[[#This Row],[ProfileID]],Table57[],2,FALSE),"NO PROFILE")</f>
        <v>NO PROFILE</v>
      </c>
      <c r="H233">
        <v>0.01</v>
      </c>
      <c r="I233">
        <v>3</v>
      </c>
    </row>
    <row r="234" spans="1:9" x14ac:dyDescent="0.25">
      <c r="A234" t="s">
        <v>8</v>
      </c>
      <c r="B234" t="str">
        <f>VLOOKUP(Simulated_Dept_Data[[#This Row],[DepartmentID]],Table578[],2,FALSE)</f>
        <v>Boots</v>
      </c>
      <c r="C234">
        <v>2022</v>
      </c>
      <c r="D234">
        <v>4</v>
      </c>
      <c r="E234" t="str">
        <f>VLOOKUP(Simulated_Dept_Data[[#This Row],[SegmentID]],Table5[],2,FALSE)</f>
        <v>Infrequent Customers</v>
      </c>
      <c r="F234">
        <v>1</v>
      </c>
      <c r="G234" t="str">
        <f>IFERROR(VLOOKUP(Simulated_Dept_Data[[#This Row],[ProfileID]],Table57[],2,FALSE),"NO PROFILE")</f>
        <v>City Slickers</v>
      </c>
      <c r="H234">
        <v>0.02</v>
      </c>
      <c r="I234">
        <v>6</v>
      </c>
    </row>
    <row r="235" spans="1:9" x14ac:dyDescent="0.25">
      <c r="A235" t="s">
        <v>8</v>
      </c>
      <c r="B235" t="str">
        <f>VLOOKUP(Simulated_Dept_Data[[#This Row],[DepartmentID]],Table578[],2,FALSE)</f>
        <v>Boots</v>
      </c>
      <c r="C235">
        <v>2022</v>
      </c>
      <c r="D235">
        <v>4</v>
      </c>
      <c r="E235" t="str">
        <f>VLOOKUP(Simulated_Dept_Data[[#This Row],[SegmentID]],Table5[],2,FALSE)</f>
        <v>Infrequent Customers</v>
      </c>
      <c r="F235">
        <v>2</v>
      </c>
      <c r="G235" t="str">
        <f>IFERROR(VLOOKUP(Simulated_Dept_Data[[#This Row],[ProfileID]],Table57[],2,FALSE),"NO PROFILE")</f>
        <v>Rich &amp; Richer</v>
      </c>
      <c r="H235">
        <v>0</v>
      </c>
      <c r="I235">
        <v>1</v>
      </c>
    </row>
    <row r="236" spans="1:9" x14ac:dyDescent="0.25">
      <c r="A236" t="s">
        <v>8</v>
      </c>
      <c r="B236" t="str">
        <f>VLOOKUP(Simulated_Dept_Data[[#This Row],[DepartmentID]],Table578[],2,FALSE)</f>
        <v>Boots</v>
      </c>
      <c r="C236">
        <v>2022</v>
      </c>
      <c r="D236">
        <v>4</v>
      </c>
      <c r="E236" t="str">
        <f>VLOOKUP(Simulated_Dept_Data[[#This Row],[SegmentID]],Table5[],2,FALSE)</f>
        <v>Infrequent Customers</v>
      </c>
      <c r="F236">
        <v>3</v>
      </c>
      <c r="G236" t="str">
        <f>IFERROR(VLOOKUP(Simulated_Dept_Data[[#This Row],[ProfileID]],Table57[],2,FALSE),"NO PROFILE")</f>
        <v>Mr. &amp; Mrs. Smiths</v>
      </c>
      <c r="H236">
        <v>0</v>
      </c>
      <c r="I236">
        <v>2</v>
      </c>
    </row>
    <row r="237" spans="1:9" x14ac:dyDescent="0.25">
      <c r="A237" t="s">
        <v>8</v>
      </c>
      <c r="B237" t="str">
        <f>VLOOKUP(Simulated_Dept_Data[[#This Row],[DepartmentID]],Table578[],2,FALSE)</f>
        <v>Boots</v>
      </c>
      <c r="C237">
        <v>2022</v>
      </c>
      <c r="D237">
        <v>4</v>
      </c>
      <c r="E237" t="str">
        <f>VLOOKUP(Simulated_Dept_Data[[#This Row],[SegmentID]],Table5[],2,FALSE)</f>
        <v>Infrequent Customers</v>
      </c>
      <c r="F237">
        <v>4</v>
      </c>
      <c r="G237" t="str">
        <f>IFERROR(VLOOKUP(Simulated_Dept_Data[[#This Row],[ProfileID]],Table57[],2,FALSE),"NO PROFILE")</f>
        <v>Blue Collar Royalty</v>
      </c>
      <c r="H237">
        <v>0.02</v>
      </c>
      <c r="I237">
        <v>5</v>
      </c>
    </row>
    <row r="238" spans="1:9" x14ac:dyDescent="0.25">
      <c r="A238" t="s">
        <v>8</v>
      </c>
      <c r="B238" t="str">
        <f>VLOOKUP(Simulated_Dept_Data[[#This Row],[DepartmentID]],Table578[],2,FALSE)</f>
        <v>Boots</v>
      </c>
      <c r="C238">
        <v>2022</v>
      </c>
      <c r="D238">
        <v>4</v>
      </c>
      <c r="E238" t="str">
        <f>VLOOKUP(Simulated_Dept_Data[[#This Row],[SegmentID]],Table5[],2,FALSE)</f>
        <v>Infrequent Customers</v>
      </c>
      <c r="F238">
        <v>5</v>
      </c>
      <c r="G238" t="str">
        <f>IFERROR(VLOOKUP(Simulated_Dept_Data[[#This Row],[ProfileID]],Table57[],2,FALSE),"NO PROFILE")</f>
        <v>Pinched Pockets</v>
      </c>
      <c r="H238">
        <v>0</v>
      </c>
      <c r="I238">
        <v>0</v>
      </c>
    </row>
    <row r="239" spans="1:9" x14ac:dyDescent="0.25">
      <c r="A239" t="s">
        <v>8</v>
      </c>
      <c r="B239" t="str">
        <f>VLOOKUP(Simulated_Dept_Data[[#This Row],[DepartmentID]],Table578[],2,FALSE)</f>
        <v>Boots</v>
      </c>
      <c r="C239">
        <v>2022</v>
      </c>
      <c r="D239">
        <v>4</v>
      </c>
      <c r="E239" t="str">
        <f>VLOOKUP(Simulated_Dept_Data[[#This Row],[SegmentID]],Table5[],2,FALSE)</f>
        <v>Infrequent Customers</v>
      </c>
      <c r="F239">
        <v>6</v>
      </c>
      <c r="G239" t="str">
        <f>IFERROR(VLOOKUP(Simulated_Dept_Data[[#This Row],[ProfileID]],Table57[],2,FALSE),"NO PROFILE")</f>
        <v>Normal Families</v>
      </c>
      <c r="H239">
        <v>0</v>
      </c>
      <c r="I239">
        <v>2</v>
      </c>
    </row>
    <row r="240" spans="1:9" x14ac:dyDescent="0.25">
      <c r="A240" t="s">
        <v>8</v>
      </c>
      <c r="B240" t="str">
        <f>VLOOKUP(Simulated_Dept_Data[[#This Row],[DepartmentID]],Table578[],2,FALSE)</f>
        <v>Boots</v>
      </c>
      <c r="C240">
        <v>2022</v>
      </c>
      <c r="D240">
        <v>5</v>
      </c>
      <c r="E240" t="str">
        <f>VLOOKUP(Simulated_Dept_Data[[#This Row],[SegmentID]],Table5[],2,FALSE)</f>
        <v>New Customers</v>
      </c>
      <c r="G240" t="str">
        <f>IFERROR(VLOOKUP(Simulated_Dept_Data[[#This Row],[ProfileID]],Table57[],2,FALSE),"NO PROFILE")</f>
        <v>NO PROFILE</v>
      </c>
      <c r="H240">
        <v>0.01</v>
      </c>
      <c r="I240">
        <v>4</v>
      </c>
    </row>
    <row r="241" spans="1:9" x14ac:dyDescent="0.25">
      <c r="A241" t="s">
        <v>8</v>
      </c>
      <c r="B241" t="str">
        <f>VLOOKUP(Simulated_Dept_Data[[#This Row],[DepartmentID]],Table578[],2,FALSE)</f>
        <v>Boots</v>
      </c>
      <c r="C241">
        <v>2022</v>
      </c>
      <c r="D241">
        <v>5</v>
      </c>
      <c r="E241" t="str">
        <f>VLOOKUP(Simulated_Dept_Data[[#This Row],[SegmentID]],Table5[],2,FALSE)</f>
        <v>New Customers</v>
      </c>
      <c r="F241">
        <v>1</v>
      </c>
      <c r="G241" t="str">
        <f>IFERROR(VLOOKUP(Simulated_Dept_Data[[#This Row],[ProfileID]],Table57[],2,FALSE),"NO PROFILE")</f>
        <v>City Slickers</v>
      </c>
      <c r="H241">
        <v>0</v>
      </c>
      <c r="I241">
        <v>2</v>
      </c>
    </row>
    <row r="242" spans="1:9" x14ac:dyDescent="0.25">
      <c r="A242" t="s">
        <v>8</v>
      </c>
      <c r="B242" t="str">
        <f>VLOOKUP(Simulated_Dept_Data[[#This Row],[DepartmentID]],Table578[],2,FALSE)</f>
        <v>Boots</v>
      </c>
      <c r="C242">
        <v>2022</v>
      </c>
      <c r="D242">
        <v>5</v>
      </c>
      <c r="E242" t="str">
        <f>VLOOKUP(Simulated_Dept_Data[[#This Row],[SegmentID]],Table5[],2,FALSE)</f>
        <v>New Customers</v>
      </c>
      <c r="F242">
        <v>2</v>
      </c>
      <c r="G242" t="str">
        <f>IFERROR(VLOOKUP(Simulated_Dept_Data[[#This Row],[ProfileID]],Table57[],2,FALSE),"NO PROFILE")</f>
        <v>Rich &amp; Richer</v>
      </c>
      <c r="H242">
        <v>0.01</v>
      </c>
      <c r="I242">
        <v>4</v>
      </c>
    </row>
    <row r="243" spans="1:9" x14ac:dyDescent="0.25">
      <c r="A243" t="s">
        <v>8</v>
      </c>
      <c r="B243" t="str">
        <f>VLOOKUP(Simulated_Dept_Data[[#This Row],[DepartmentID]],Table578[],2,FALSE)</f>
        <v>Boots</v>
      </c>
      <c r="C243">
        <v>2022</v>
      </c>
      <c r="D243">
        <v>5</v>
      </c>
      <c r="E243" t="str">
        <f>VLOOKUP(Simulated_Dept_Data[[#This Row],[SegmentID]],Table5[],2,FALSE)</f>
        <v>New Customers</v>
      </c>
      <c r="F243">
        <v>3</v>
      </c>
      <c r="G243" t="str">
        <f>IFERROR(VLOOKUP(Simulated_Dept_Data[[#This Row],[ProfileID]],Table57[],2,FALSE),"NO PROFILE")</f>
        <v>Mr. &amp; Mrs. Smiths</v>
      </c>
      <c r="H243">
        <v>0.01</v>
      </c>
      <c r="I243">
        <v>4</v>
      </c>
    </row>
    <row r="244" spans="1:9" x14ac:dyDescent="0.25">
      <c r="A244" t="s">
        <v>8</v>
      </c>
      <c r="B244" t="str">
        <f>VLOOKUP(Simulated_Dept_Data[[#This Row],[DepartmentID]],Table578[],2,FALSE)</f>
        <v>Boots</v>
      </c>
      <c r="C244">
        <v>2022</v>
      </c>
      <c r="D244">
        <v>5</v>
      </c>
      <c r="E244" t="str">
        <f>VLOOKUP(Simulated_Dept_Data[[#This Row],[SegmentID]],Table5[],2,FALSE)</f>
        <v>New Customers</v>
      </c>
      <c r="F244">
        <v>4</v>
      </c>
      <c r="G244" t="str">
        <f>IFERROR(VLOOKUP(Simulated_Dept_Data[[#This Row],[ProfileID]],Table57[],2,FALSE),"NO PROFILE")</f>
        <v>Blue Collar Royalty</v>
      </c>
      <c r="H244">
        <v>0</v>
      </c>
      <c r="I244">
        <v>0</v>
      </c>
    </row>
    <row r="245" spans="1:9" x14ac:dyDescent="0.25">
      <c r="A245" t="s">
        <v>8</v>
      </c>
      <c r="B245" t="str">
        <f>VLOOKUP(Simulated_Dept_Data[[#This Row],[DepartmentID]],Table578[],2,FALSE)</f>
        <v>Boots</v>
      </c>
      <c r="C245">
        <v>2022</v>
      </c>
      <c r="D245">
        <v>5</v>
      </c>
      <c r="E245" t="str">
        <f>VLOOKUP(Simulated_Dept_Data[[#This Row],[SegmentID]],Table5[],2,FALSE)</f>
        <v>New Customers</v>
      </c>
      <c r="F245">
        <v>5</v>
      </c>
      <c r="G245" t="str">
        <f>IFERROR(VLOOKUP(Simulated_Dept_Data[[#This Row],[ProfileID]],Table57[],2,FALSE),"NO PROFILE")</f>
        <v>Pinched Pockets</v>
      </c>
      <c r="H245">
        <v>0</v>
      </c>
      <c r="I245">
        <v>0</v>
      </c>
    </row>
    <row r="246" spans="1:9" x14ac:dyDescent="0.25">
      <c r="A246" t="s">
        <v>8</v>
      </c>
      <c r="B246" t="str">
        <f>VLOOKUP(Simulated_Dept_Data[[#This Row],[DepartmentID]],Table578[],2,FALSE)</f>
        <v>Boots</v>
      </c>
      <c r="C246">
        <v>2022</v>
      </c>
      <c r="D246">
        <v>5</v>
      </c>
      <c r="E246" t="str">
        <f>VLOOKUP(Simulated_Dept_Data[[#This Row],[SegmentID]],Table5[],2,FALSE)</f>
        <v>New Customers</v>
      </c>
      <c r="F246">
        <v>6</v>
      </c>
      <c r="G246" t="str">
        <f>IFERROR(VLOOKUP(Simulated_Dept_Data[[#This Row],[ProfileID]],Table57[],2,FALSE),"NO PROFILE")</f>
        <v>Normal Families</v>
      </c>
      <c r="H246">
        <v>0</v>
      </c>
      <c r="I246">
        <v>0</v>
      </c>
    </row>
    <row r="247" spans="1:9" x14ac:dyDescent="0.25">
      <c r="A247" t="s">
        <v>8</v>
      </c>
      <c r="B247" t="str">
        <f>VLOOKUP(Simulated_Dept_Data[[#This Row],[DepartmentID]],Table578[],2,FALSE)</f>
        <v>Boots</v>
      </c>
      <c r="C247">
        <v>2023</v>
      </c>
      <c r="D247">
        <v>1</v>
      </c>
      <c r="E247" t="str">
        <f>VLOOKUP(Simulated_Dept_Data[[#This Row],[SegmentID]],Table5[],2,FALSE)</f>
        <v>Elite Customers</v>
      </c>
      <c r="G247" t="str">
        <f>IFERROR(VLOOKUP(Simulated_Dept_Data[[#This Row],[ProfileID]],Table57[],2,FALSE),"NO PROFILE")</f>
        <v>NO PROFILE</v>
      </c>
      <c r="H247">
        <v>3810.11</v>
      </c>
      <c r="I247">
        <v>2134</v>
      </c>
    </row>
    <row r="248" spans="1:9" x14ac:dyDescent="0.25">
      <c r="A248" t="s">
        <v>8</v>
      </c>
      <c r="B248" t="str">
        <f>VLOOKUP(Simulated_Dept_Data[[#This Row],[DepartmentID]],Table578[],2,FALSE)</f>
        <v>Boots</v>
      </c>
      <c r="C248">
        <v>2023</v>
      </c>
      <c r="D248">
        <v>1</v>
      </c>
      <c r="E248" t="str">
        <f>VLOOKUP(Simulated_Dept_Data[[#This Row],[SegmentID]],Table5[],2,FALSE)</f>
        <v>Elite Customers</v>
      </c>
      <c r="F248">
        <v>1</v>
      </c>
      <c r="G248" t="str">
        <f>IFERROR(VLOOKUP(Simulated_Dept_Data[[#This Row],[ProfileID]],Table57[],2,FALSE),"NO PROFILE")</f>
        <v>City Slickers</v>
      </c>
      <c r="H248">
        <v>12006.69</v>
      </c>
      <c r="I248">
        <v>3788</v>
      </c>
    </row>
    <row r="249" spans="1:9" x14ac:dyDescent="0.25">
      <c r="A249" t="s">
        <v>8</v>
      </c>
      <c r="B249" t="str">
        <f>VLOOKUP(Simulated_Dept_Data[[#This Row],[DepartmentID]],Table578[],2,FALSE)</f>
        <v>Boots</v>
      </c>
      <c r="C249">
        <v>2023</v>
      </c>
      <c r="D249">
        <v>1</v>
      </c>
      <c r="E249" t="str">
        <f>VLOOKUP(Simulated_Dept_Data[[#This Row],[SegmentID]],Table5[],2,FALSE)</f>
        <v>Elite Customers</v>
      </c>
      <c r="F249">
        <v>2</v>
      </c>
      <c r="G249" t="str">
        <f>IFERROR(VLOOKUP(Simulated_Dept_Data[[#This Row],[ProfileID]],Table57[],2,FALSE),"NO PROFILE")</f>
        <v>Rich &amp; Richer</v>
      </c>
      <c r="H249">
        <v>13654.92</v>
      </c>
      <c r="I249">
        <v>4039</v>
      </c>
    </row>
    <row r="250" spans="1:9" x14ac:dyDescent="0.25">
      <c r="A250" t="s">
        <v>8</v>
      </c>
      <c r="B250" t="str">
        <f>VLOOKUP(Simulated_Dept_Data[[#This Row],[DepartmentID]],Table578[],2,FALSE)</f>
        <v>Boots</v>
      </c>
      <c r="C250">
        <v>2023</v>
      </c>
      <c r="D250">
        <v>1</v>
      </c>
      <c r="E250" t="str">
        <f>VLOOKUP(Simulated_Dept_Data[[#This Row],[SegmentID]],Table5[],2,FALSE)</f>
        <v>Elite Customers</v>
      </c>
      <c r="F250">
        <v>3</v>
      </c>
      <c r="G250" t="str">
        <f>IFERROR(VLOOKUP(Simulated_Dept_Data[[#This Row],[ProfileID]],Table57[],2,FALSE),"NO PROFILE")</f>
        <v>Mr. &amp; Mrs. Smiths</v>
      </c>
      <c r="H250">
        <v>13966.77</v>
      </c>
      <c r="I250">
        <v>4085</v>
      </c>
    </row>
    <row r="251" spans="1:9" x14ac:dyDescent="0.25">
      <c r="A251" t="s">
        <v>8</v>
      </c>
      <c r="B251" t="str">
        <f>VLOOKUP(Simulated_Dept_Data[[#This Row],[DepartmentID]],Table578[],2,FALSE)</f>
        <v>Boots</v>
      </c>
      <c r="C251">
        <v>2023</v>
      </c>
      <c r="D251">
        <v>1</v>
      </c>
      <c r="E251" t="str">
        <f>VLOOKUP(Simulated_Dept_Data[[#This Row],[SegmentID]],Table5[],2,FALSE)</f>
        <v>Elite Customers</v>
      </c>
      <c r="F251">
        <v>4</v>
      </c>
      <c r="G251" t="str">
        <f>IFERROR(VLOOKUP(Simulated_Dept_Data[[#This Row],[ProfileID]],Table57[],2,FALSE),"NO PROFILE")</f>
        <v>Blue Collar Royalty</v>
      </c>
      <c r="H251">
        <v>3821.64</v>
      </c>
      <c r="I251">
        <v>2137</v>
      </c>
    </row>
    <row r="252" spans="1:9" x14ac:dyDescent="0.25">
      <c r="A252" t="s">
        <v>8</v>
      </c>
      <c r="B252" t="str">
        <f>VLOOKUP(Simulated_Dept_Data[[#This Row],[DepartmentID]],Table578[],2,FALSE)</f>
        <v>Boots</v>
      </c>
      <c r="C252">
        <v>2023</v>
      </c>
      <c r="D252">
        <v>1</v>
      </c>
      <c r="E252" t="str">
        <f>VLOOKUP(Simulated_Dept_Data[[#This Row],[SegmentID]],Table5[],2,FALSE)</f>
        <v>Elite Customers</v>
      </c>
      <c r="F252">
        <v>5</v>
      </c>
      <c r="G252" t="str">
        <f>IFERROR(VLOOKUP(Simulated_Dept_Data[[#This Row],[ProfileID]],Table57[],2,FALSE),"NO PROFILE")</f>
        <v>Pinched Pockets</v>
      </c>
      <c r="H252">
        <v>18505.86</v>
      </c>
      <c r="I252">
        <v>4702</v>
      </c>
    </row>
    <row r="253" spans="1:9" x14ac:dyDescent="0.25">
      <c r="A253" t="s">
        <v>8</v>
      </c>
      <c r="B253" t="str">
        <f>VLOOKUP(Simulated_Dept_Data[[#This Row],[DepartmentID]],Table578[],2,FALSE)</f>
        <v>Boots</v>
      </c>
      <c r="C253">
        <v>2023</v>
      </c>
      <c r="D253">
        <v>1</v>
      </c>
      <c r="E253" t="str">
        <f>VLOOKUP(Simulated_Dept_Data[[#This Row],[SegmentID]],Table5[],2,FALSE)</f>
        <v>Elite Customers</v>
      </c>
      <c r="F253">
        <v>6</v>
      </c>
      <c r="G253" t="str">
        <f>IFERROR(VLOOKUP(Simulated_Dept_Data[[#This Row],[ProfileID]],Table57[],2,FALSE),"NO PROFILE")</f>
        <v>Normal Families</v>
      </c>
      <c r="H253">
        <v>2907.48</v>
      </c>
      <c r="I253">
        <v>1864</v>
      </c>
    </row>
    <row r="254" spans="1:9" x14ac:dyDescent="0.25">
      <c r="A254" t="s">
        <v>8</v>
      </c>
      <c r="B254" t="str">
        <f>VLOOKUP(Simulated_Dept_Data[[#This Row],[DepartmentID]],Table578[],2,FALSE)</f>
        <v>Boots</v>
      </c>
      <c r="C254">
        <v>2023</v>
      </c>
      <c r="D254">
        <v>2</v>
      </c>
      <c r="E254" t="str">
        <f>VLOOKUP(Simulated_Dept_Data[[#This Row],[SegmentID]],Table5[],2,FALSE)</f>
        <v>Core Customers</v>
      </c>
      <c r="G254" t="str">
        <f>IFERROR(VLOOKUP(Simulated_Dept_Data[[#This Row],[ProfileID]],Table57[],2,FALSE),"NO PROFILE")</f>
        <v>NO PROFILE</v>
      </c>
      <c r="H254">
        <v>13514.05</v>
      </c>
      <c r="I254">
        <v>4545</v>
      </c>
    </row>
    <row r="255" spans="1:9" x14ac:dyDescent="0.25">
      <c r="A255" t="s">
        <v>8</v>
      </c>
      <c r="B255" t="str">
        <f>VLOOKUP(Simulated_Dept_Data[[#This Row],[DepartmentID]],Table578[],2,FALSE)</f>
        <v>Boots</v>
      </c>
      <c r="C255">
        <v>2023</v>
      </c>
      <c r="D255">
        <v>2</v>
      </c>
      <c r="E255" t="str">
        <f>VLOOKUP(Simulated_Dept_Data[[#This Row],[SegmentID]],Table5[],2,FALSE)</f>
        <v>Core Customers</v>
      </c>
      <c r="F255">
        <v>1</v>
      </c>
      <c r="G255" t="str">
        <f>IFERROR(VLOOKUP(Simulated_Dept_Data[[#This Row],[ProfileID]],Table57[],2,FALSE),"NO PROFILE")</f>
        <v>City Slickers</v>
      </c>
      <c r="H255">
        <v>3233.07</v>
      </c>
      <c r="I255">
        <v>2223</v>
      </c>
    </row>
    <row r="256" spans="1:9" x14ac:dyDescent="0.25">
      <c r="A256" t="s">
        <v>8</v>
      </c>
      <c r="B256" t="str">
        <f>VLOOKUP(Simulated_Dept_Data[[#This Row],[DepartmentID]],Table578[],2,FALSE)</f>
        <v>Boots</v>
      </c>
      <c r="C256">
        <v>2023</v>
      </c>
      <c r="D256">
        <v>2</v>
      </c>
      <c r="E256" t="str">
        <f>VLOOKUP(Simulated_Dept_Data[[#This Row],[SegmentID]],Table5[],2,FALSE)</f>
        <v>Core Customers</v>
      </c>
      <c r="F256">
        <v>2</v>
      </c>
      <c r="G256" t="str">
        <f>IFERROR(VLOOKUP(Simulated_Dept_Data[[#This Row],[ProfileID]],Table57[],2,FALSE),"NO PROFILE")</f>
        <v>Rich &amp; Richer</v>
      </c>
      <c r="H256">
        <v>5168.97</v>
      </c>
      <c r="I256">
        <v>2811</v>
      </c>
    </row>
    <row r="257" spans="1:9" x14ac:dyDescent="0.25">
      <c r="A257" t="s">
        <v>8</v>
      </c>
      <c r="B257" t="str">
        <f>VLOOKUP(Simulated_Dept_Data[[#This Row],[DepartmentID]],Table578[],2,FALSE)</f>
        <v>Boots</v>
      </c>
      <c r="C257">
        <v>2023</v>
      </c>
      <c r="D257">
        <v>2</v>
      </c>
      <c r="E257" t="str">
        <f>VLOOKUP(Simulated_Dept_Data[[#This Row],[SegmentID]],Table5[],2,FALSE)</f>
        <v>Core Customers</v>
      </c>
      <c r="F257">
        <v>3</v>
      </c>
      <c r="G257" t="str">
        <f>IFERROR(VLOOKUP(Simulated_Dept_Data[[#This Row],[ProfileID]],Table57[],2,FALSE),"NO PROFILE")</f>
        <v>Mr. &amp; Mrs. Smiths</v>
      </c>
      <c r="H257">
        <v>11313.07</v>
      </c>
      <c r="I257">
        <v>4159</v>
      </c>
    </row>
    <row r="258" spans="1:9" x14ac:dyDescent="0.25">
      <c r="A258" t="s">
        <v>8</v>
      </c>
      <c r="B258" t="str">
        <f>VLOOKUP(Simulated_Dept_Data[[#This Row],[DepartmentID]],Table578[],2,FALSE)</f>
        <v>Boots</v>
      </c>
      <c r="C258">
        <v>2023</v>
      </c>
      <c r="D258">
        <v>2</v>
      </c>
      <c r="E258" t="str">
        <f>VLOOKUP(Simulated_Dept_Data[[#This Row],[SegmentID]],Table5[],2,FALSE)</f>
        <v>Core Customers</v>
      </c>
      <c r="F258">
        <v>4</v>
      </c>
      <c r="G258" t="str">
        <f>IFERROR(VLOOKUP(Simulated_Dept_Data[[#This Row],[ProfileID]],Table57[],2,FALSE),"NO PROFILE")</f>
        <v>Blue Collar Royalty</v>
      </c>
      <c r="H258">
        <v>7.96</v>
      </c>
      <c r="I258">
        <v>110</v>
      </c>
    </row>
    <row r="259" spans="1:9" x14ac:dyDescent="0.25">
      <c r="A259" t="s">
        <v>8</v>
      </c>
      <c r="B259" t="str">
        <f>VLOOKUP(Simulated_Dept_Data[[#This Row],[DepartmentID]],Table578[],2,FALSE)</f>
        <v>Boots</v>
      </c>
      <c r="C259">
        <v>2023</v>
      </c>
      <c r="D259">
        <v>2</v>
      </c>
      <c r="E259" t="str">
        <f>VLOOKUP(Simulated_Dept_Data[[#This Row],[SegmentID]],Table5[],2,FALSE)</f>
        <v>Core Customers</v>
      </c>
      <c r="F259">
        <v>5</v>
      </c>
      <c r="G259" t="str">
        <f>IFERROR(VLOOKUP(Simulated_Dept_Data[[#This Row],[ProfileID]],Table57[],2,FALSE),"NO PROFILE")</f>
        <v>Pinched Pockets</v>
      </c>
      <c r="H259">
        <v>2350.0100000000002</v>
      </c>
      <c r="I259">
        <v>1895</v>
      </c>
    </row>
    <row r="260" spans="1:9" x14ac:dyDescent="0.25">
      <c r="A260" t="s">
        <v>8</v>
      </c>
      <c r="B260" t="str">
        <f>VLOOKUP(Simulated_Dept_Data[[#This Row],[DepartmentID]],Table578[],2,FALSE)</f>
        <v>Boots</v>
      </c>
      <c r="C260">
        <v>2023</v>
      </c>
      <c r="D260">
        <v>2</v>
      </c>
      <c r="E260" t="str">
        <f>VLOOKUP(Simulated_Dept_Data[[#This Row],[SegmentID]],Table5[],2,FALSE)</f>
        <v>Core Customers</v>
      </c>
      <c r="F260">
        <v>6</v>
      </c>
      <c r="G260" t="str">
        <f>IFERROR(VLOOKUP(Simulated_Dept_Data[[#This Row],[ProfileID]],Table57[],2,FALSE),"NO PROFILE")</f>
        <v>Normal Families</v>
      </c>
      <c r="H260">
        <v>1414.42</v>
      </c>
      <c r="I260">
        <v>1471</v>
      </c>
    </row>
    <row r="261" spans="1:9" x14ac:dyDescent="0.25">
      <c r="A261" t="s">
        <v>8</v>
      </c>
      <c r="B261" t="str">
        <f>VLOOKUP(Simulated_Dept_Data[[#This Row],[DepartmentID]],Table578[],2,FALSE)</f>
        <v>Boots</v>
      </c>
      <c r="C261">
        <v>2023</v>
      </c>
      <c r="D261">
        <v>3</v>
      </c>
      <c r="E261" t="str">
        <f>VLOOKUP(Simulated_Dept_Data[[#This Row],[SegmentID]],Table5[],2,FALSE)</f>
        <v>Power Shoppers</v>
      </c>
      <c r="G261" t="str">
        <f>IFERROR(VLOOKUP(Simulated_Dept_Data[[#This Row],[ProfileID]],Table57[],2,FALSE),"NO PROFILE")</f>
        <v>NO PROFILE</v>
      </c>
      <c r="H261">
        <v>2858.27</v>
      </c>
      <c r="I261">
        <v>2089</v>
      </c>
    </row>
    <row r="262" spans="1:9" x14ac:dyDescent="0.25">
      <c r="A262" t="s">
        <v>8</v>
      </c>
      <c r="B262" t="str">
        <f>VLOOKUP(Simulated_Dept_Data[[#This Row],[DepartmentID]],Table578[],2,FALSE)</f>
        <v>Boots</v>
      </c>
      <c r="C262">
        <v>2023</v>
      </c>
      <c r="D262">
        <v>3</v>
      </c>
      <c r="E262" t="str">
        <f>VLOOKUP(Simulated_Dept_Data[[#This Row],[SegmentID]],Table5[],2,FALSE)</f>
        <v>Power Shoppers</v>
      </c>
      <c r="F262">
        <v>1</v>
      </c>
      <c r="G262" t="str">
        <f>IFERROR(VLOOKUP(Simulated_Dept_Data[[#This Row],[ProfileID]],Table57[],2,FALSE),"NO PROFILE")</f>
        <v>City Slickers</v>
      </c>
      <c r="H262">
        <v>13687.92</v>
      </c>
      <c r="I262">
        <v>4570</v>
      </c>
    </row>
    <row r="263" spans="1:9" x14ac:dyDescent="0.25">
      <c r="A263" t="s">
        <v>8</v>
      </c>
      <c r="B263" t="str">
        <f>VLOOKUP(Simulated_Dept_Data[[#This Row],[DepartmentID]],Table578[],2,FALSE)</f>
        <v>Boots</v>
      </c>
      <c r="C263">
        <v>2023</v>
      </c>
      <c r="D263">
        <v>3</v>
      </c>
      <c r="E263" t="str">
        <f>VLOOKUP(Simulated_Dept_Data[[#This Row],[SegmentID]],Table5[],2,FALSE)</f>
        <v>Power Shoppers</v>
      </c>
      <c r="F263">
        <v>2</v>
      </c>
      <c r="G263" t="str">
        <f>IFERROR(VLOOKUP(Simulated_Dept_Data[[#This Row],[ProfileID]],Table57[],2,FALSE),"NO PROFILE")</f>
        <v>Rich &amp; Richer</v>
      </c>
      <c r="H263">
        <v>1870.09</v>
      </c>
      <c r="I263">
        <v>1689</v>
      </c>
    </row>
    <row r="264" spans="1:9" x14ac:dyDescent="0.25">
      <c r="A264" t="s">
        <v>8</v>
      </c>
      <c r="B264" t="str">
        <f>VLOOKUP(Simulated_Dept_Data[[#This Row],[DepartmentID]],Table578[],2,FALSE)</f>
        <v>Boots</v>
      </c>
      <c r="C264">
        <v>2023</v>
      </c>
      <c r="D264">
        <v>3</v>
      </c>
      <c r="E264" t="str">
        <f>VLOOKUP(Simulated_Dept_Data[[#This Row],[SegmentID]],Table5[],2,FALSE)</f>
        <v>Power Shoppers</v>
      </c>
      <c r="F264">
        <v>3</v>
      </c>
      <c r="G264" t="str">
        <f>IFERROR(VLOOKUP(Simulated_Dept_Data[[#This Row],[ProfileID]],Table57[],2,FALSE),"NO PROFILE")</f>
        <v>Mr. &amp; Mrs. Smiths</v>
      </c>
      <c r="H264">
        <v>268.08</v>
      </c>
      <c r="I264">
        <v>640</v>
      </c>
    </row>
    <row r="265" spans="1:9" x14ac:dyDescent="0.25">
      <c r="A265" t="s">
        <v>8</v>
      </c>
      <c r="B265" t="str">
        <f>VLOOKUP(Simulated_Dept_Data[[#This Row],[DepartmentID]],Table578[],2,FALSE)</f>
        <v>Boots</v>
      </c>
      <c r="C265">
        <v>2023</v>
      </c>
      <c r="D265">
        <v>3</v>
      </c>
      <c r="E265" t="str">
        <f>VLOOKUP(Simulated_Dept_Data[[#This Row],[SegmentID]],Table5[],2,FALSE)</f>
        <v>Power Shoppers</v>
      </c>
      <c r="F265">
        <v>4</v>
      </c>
      <c r="G265" t="str">
        <f>IFERROR(VLOOKUP(Simulated_Dept_Data[[#This Row],[ProfileID]],Table57[],2,FALSE),"NO PROFILE")</f>
        <v>Blue Collar Royalty</v>
      </c>
      <c r="H265">
        <v>8050.75</v>
      </c>
      <c r="I265">
        <v>3505</v>
      </c>
    </row>
    <row r="266" spans="1:9" x14ac:dyDescent="0.25">
      <c r="A266" t="s">
        <v>8</v>
      </c>
      <c r="B266" t="str">
        <f>VLOOKUP(Simulated_Dept_Data[[#This Row],[DepartmentID]],Table578[],2,FALSE)</f>
        <v>Boots</v>
      </c>
      <c r="C266">
        <v>2023</v>
      </c>
      <c r="D266">
        <v>3</v>
      </c>
      <c r="E266" t="str">
        <f>VLOOKUP(Simulated_Dept_Data[[#This Row],[SegmentID]],Table5[],2,FALSE)</f>
        <v>Power Shoppers</v>
      </c>
      <c r="F266">
        <v>5</v>
      </c>
      <c r="G266" t="str">
        <f>IFERROR(VLOOKUP(Simulated_Dept_Data[[#This Row],[ProfileID]],Table57[],2,FALSE),"NO PROFILE")</f>
        <v>Pinched Pockets</v>
      </c>
      <c r="H266">
        <v>2904.61</v>
      </c>
      <c r="I266">
        <v>2105</v>
      </c>
    </row>
    <row r="267" spans="1:9" x14ac:dyDescent="0.25">
      <c r="A267" t="s">
        <v>8</v>
      </c>
      <c r="B267" t="str">
        <f>VLOOKUP(Simulated_Dept_Data[[#This Row],[DepartmentID]],Table578[],2,FALSE)</f>
        <v>Boots</v>
      </c>
      <c r="C267">
        <v>2023</v>
      </c>
      <c r="D267">
        <v>3</v>
      </c>
      <c r="E267" t="str">
        <f>VLOOKUP(Simulated_Dept_Data[[#This Row],[SegmentID]],Table5[],2,FALSE)</f>
        <v>Power Shoppers</v>
      </c>
      <c r="F267">
        <v>6</v>
      </c>
      <c r="G267" t="str">
        <f>IFERROR(VLOOKUP(Simulated_Dept_Data[[#This Row],[ProfileID]],Table57[],2,FALSE),"NO PROFILE")</f>
        <v>Normal Families</v>
      </c>
      <c r="H267">
        <v>84.18</v>
      </c>
      <c r="I267">
        <v>358</v>
      </c>
    </row>
    <row r="268" spans="1:9" x14ac:dyDescent="0.25">
      <c r="A268" t="s">
        <v>8</v>
      </c>
      <c r="B268" t="str">
        <f>VLOOKUP(Simulated_Dept_Data[[#This Row],[DepartmentID]],Table578[],2,FALSE)</f>
        <v>Boots</v>
      </c>
      <c r="C268">
        <v>2023</v>
      </c>
      <c r="D268">
        <v>4</v>
      </c>
      <c r="E268" t="str">
        <f>VLOOKUP(Simulated_Dept_Data[[#This Row],[SegmentID]],Table5[],2,FALSE)</f>
        <v>Infrequent Customers</v>
      </c>
      <c r="G268" t="str">
        <f>IFERROR(VLOOKUP(Simulated_Dept_Data[[#This Row],[ProfileID]],Table57[],2,FALSE),"NO PROFILE")</f>
        <v>NO PROFILE</v>
      </c>
      <c r="H268">
        <v>4493.9399999999996</v>
      </c>
      <c r="I268">
        <v>2512</v>
      </c>
    </row>
    <row r="269" spans="1:9" x14ac:dyDescent="0.25">
      <c r="A269" t="s">
        <v>8</v>
      </c>
      <c r="B269" t="str">
        <f>VLOOKUP(Simulated_Dept_Data[[#This Row],[DepartmentID]],Table578[],2,FALSE)</f>
        <v>Boots</v>
      </c>
      <c r="C269">
        <v>2023</v>
      </c>
      <c r="D269">
        <v>4</v>
      </c>
      <c r="E269" t="str">
        <f>VLOOKUP(Simulated_Dept_Data[[#This Row],[SegmentID]],Table5[],2,FALSE)</f>
        <v>Infrequent Customers</v>
      </c>
      <c r="F269">
        <v>1</v>
      </c>
      <c r="G269" t="str">
        <f>IFERROR(VLOOKUP(Simulated_Dept_Data[[#This Row],[ProfileID]],Table57[],2,FALSE),"NO PROFILE")</f>
        <v>City Slickers</v>
      </c>
      <c r="H269">
        <v>18076.29</v>
      </c>
      <c r="I269">
        <v>5038</v>
      </c>
    </row>
    <row r="270" spans="1:9" x14ac:dyDescent="0.25">
      <c r="A270" t="s">
        <v>8</v>
      </c>
      <c r="B270" t="str">
        <f>VLOOKUP(Simulated_Dept_Data[[#This Row],[DepartmentID]],Table578[],2,FALSE)</f>
        <v>Boots</v>
      </c>
      <c r="C270">
        <v>2023</v>
      </c>
      <c r="D270">
        <v>4</v>
      </c>
      <c r="E270" t="str">
        <f>VLOOKUP(Simulated_Dept_Data[[#This Row],[SegmentID]],Table5[],2,FALSE)</f>
        <v>Infrequent Customers</v>
      </c>
      <c r="F270">
        <v>2</v>
      </c>
      <c r="G270" t="str">
        <f>IFERROR(VLOOKUP(Simulated_Dept_Data[[#This Row],[ProfileID]],Table57[],2,FALSE),"NO PROFILE")</f>
        <v>Rich &amp; Richer</v>
      </c>
      <c r="H270">
        <v>421.65</v>
      </c>
      <c r="I270">
        <v>769</v>
      </c>
    </row>
    <row r="271" spans="1:9" x14ac:dyDescent="0.25">
      <c r="A271" t="s">
        <v>8</v>
      </c>
      <c r="B271" t="str">
        <f>VLOOKUP(Simulated_Dept_Data[[#This Row],[DepartmentID]],Table578[],2,FALSE)</f>
        <v>Boots</v>
      </c>
      <c r="C271">
        <v>2023</v>
      </c>
      <c r="D271">
        <v>4</v>
      </c>
      <c r="E271" t="str">
        <f>VLOOKUP(Simulated_Dept_Data[[#This Row],[SegmentID]],Table5[],2,FALSE)</f>
        <v>Infrequent Customers</v>
      </c>
      <c r="F271">
        <v>3</v>
      </c>
      <c r="G271" t="str">
        <f>IFERROR(VLOOKUP(Simulated_Dept_Data[[#This Row],[ProfileID]],Table57[],2,FALSE),"NO PROFILE")</f>
        <v>Mr. &amp; Mrs. Smiths</v>
      </c>
      <c r="H271">
        <v>3565.24</v>
      </c>
      <c r="I271">
        <v>2237</v>
      </c>
    </row>
    <row r="272" spans="1:9" x14ac:dyDescent="0.25">
      <c r="A272" t="s">
        <v>8</v>
      </c>
      <c r="B272" t="str">
        <f>VLOOKUP(Simulated_Dept_Data[[#This Row],[DepartmentID]],Table578[],2,FALSE)</f>
        <v>Boots</v>
      </c>
      <c r="C272">
        <v>2023</v>
      </c>
      <c r="D272">
        <v>4</v>
      </c>
      <c r="E272" t="str">
        <f>VLOOKUP(Simulated_Dept_Data[[#This Row],[SegmentID]],Table5[],2,FALSE)</f>
        <v>Infrequent Customers</v>
      </c>
      <c r="F272">
        <v>4</v>
      </c>
      <c r="G272" t="str">
        <f>IFERROR(VLOOKUP(Simulated_Dept_Data[[#This Row],[ProfileID]],Table57[],2,FALSE),"NO PROFILE")</f>
        <v>Blue Collar Royalty</v>
      </c>
      <c r="H272">
        <v>16855.25</v>
      </c>
      <c r="I272">
        <v>4865</v>
      </c>
    </row>
    <row r="273" spans="1:9" x14ac:dyDescent="0.25">
      <c r="A273" t="s">
        <v>8</v>
      </c>
      <c r="B273" t="str">
        <f>VLOOKUP(Simulated_Dept_Data[[#This Row],[DepartmentID]],Table578[],2,FALSE)</f>
        <v>Boots</v>
      </c>
      <c r="C273">
        <v>2023</v>
      </c>
      <c r="D273">
        <v>4</v>
      </c>
      <c r="E273" t="str">
        <f>VLOOKUP(Simulated_Dept_Data[[#This Row],[SegmentID]],Table5[],2,FALSE)</f>
        <v>Infrequent Customers</v>
      </c>
      <c r="F273">
        <v>5</v>
      </c>
      <c r="G273" t="str">
        <f>IFERROR(VLOOKUP(Simulated_Dept_Data[[#This Row],[ProfileID]],Table57[],2,FALSE),"NO PROFILE")</f>
        <v>Pinched Pockets</v>
      </c>
      <c r="H273">
        <v>35.880000000000003</v>
      </c>
      <c r="I273">
        <v>224</v>
      </c>
    </row>
    <row r="274" spans="1:9" x14ac:dyDescent="0.25">
      <c r="A274" t="s">
        <v>8</v>
      </c>
      <c r="B274" t="str">
        <f>VLOOKUP(Simulated_Dept_Data[[#This Row],[DepartmentID]],Table578[],2,FALSE)</f>
        <v>Boots</v>
      </c>
      <c r="C274">
        <v>2023</v>
      </c>
      <c r="D274">
        <v>4</v>
      </c>
      <c r="E274" t="str">
        <f>VLOOKUP(Simulated_Dept_Data[[#This Row],[SegmentID]],Table5[],2,FALSE)</f>
        <v>Infrequent Customers</v>
      </c>
      <c r="F274">
        <v>6</v>
      </c>
      <c r="G274" t="str">
        <f>IFERROR(VLOOKUP(Simulated_Dept_Data[[#This Row],[ProfileID]],Table57[],2,FALSE),"NO PROFILE")</f>
        <v>Normal Families</v>
      </c>
      <c r="H274">
        <v>1812.23</v>
      </c>
      <c r="I274">
        <v>1595</v>
      </c>
    </row>
    <row r="275" spans="1:9" x14ac:dyDescent="0.25">
      <c r="A275" t="s">
        <v>8</v>
      </c>
      <c r="B275" t="str">
        <f>VLOOKUP(Simulated_Dept_Data[[#This Row],[DepartmentID]],Table578[],2,FALSE)</f>
        <v>Boots</v>
      </c>
      <c r="C275">
        <v>2023</v>
      </c>
      <c r="D275">
        <v>5</v>
      </c>
      <c r="E275" t="str">
        <f>VLOOKUP(Simulated_Dept_Data[[#This Row],[SegmentID]],Table5[],2,FALSE)</f>
        <v>New Customers</v>
      </c>
      <c r="G275" t="str">
        <f>IFERROR(VLOOKUP(Simulated_Dept_Data[[#This Row],[ProfileID]],Table57[],2,FALSE),"NO PROFILE")</f>
        <v>NO PROFILE</v>
      </c>
      <c r="H275">
        <v>12738.51</v>
      </c>
      <c r="I275">
        <v>4224</v>
      </c>
    </row>
    <row r="276" spans="1:9" x14ac:dyDescent="0.25">
      <c r="A276" t="s">
        <v>8</v>
      </c>
      <c r="B276" t="str">
        <f>VLOOKUP(Simulated_Dept_Data[[#This Row],[DepartmentID]],Table578[],2,FALSE)</f>
        <v>Boots</v>
      </c>
      <c r="C276">
        <v>2023</v>
      </c>
      <c r="D276">
        <v>5</v>
      </c>
      <c r="E276" t="str">
        <f>VLOOKUP(Simulated_Dept_Data[[#This Row],[SegmentID]],Table5[],2,FALSE)</f>
        <v>New Customers</v>
      </c>
      <c r="F276">
        <v>1</v>
      </c>
      <c r="G276" t="str">
        <f>IFERROR(VLOOKUP(Simulated_Dept_Data[[#This Row],[ProfileID]],Table57[],2,FALSE),"NO PROFILE")</f>
        <v>City Slickers</v>
      </c>
      <c r="H276">
        <v>4295.6499999999996</v>
      </c>
      <c r="I276">
        <v>2453</v>
      </c>
    </row>
    <row r="277" spans="1:9" x14ac:dyDescent="0.25">
      <c r="A277" t="s">
        <v>8</v>
      </c>
      <c r="B277" t="str">
        <f>VLOOKUP(Simulated_Dept_Data[[#This Row],[DepartmentID]],Table578[],2,FALSE)</f>
        <v>Boots</v>
      </c>
      <c r="C277">
        <v>2023</v>
      </c>
      <c r="D277">
        <v>5</v>
      </c>
      <c r="E277" t="str">
        <f>VLOOKUP(Simulated_Dept_Data[[#This Row],[SegmentID]],Table5[],2,FALSE)</f>
        <v>New Customers</v>
      </c>
      <c r="F277">
        <v>2</v>
      </c>
      <c r="G277" t="str">
        <f>IFERROR(VLOOKUP(Simulated_Dept_Data[[#This Row],[ProfileID]],Table57[],2,FALSE),"NO PROFILE")</f>
        <v>Rich &amp; Richer</v>
      </c>
      <c r="H277">
        <v>9232.57</v>
      </c>
      <c r="I277">
        <v>3596</v>
      </c>
    </row>
    <row r="278" spans="1:9" x14ac:dyDescent="0.25">
      <c r="A278" t="s">
        <v>8</v>
      </c>
      <c r="B278" t="str">
        <f>VLOOKUP(Simulated_Dept_Data[[#This Row],[DepartmentID]],Table578[],2,FALSE)</f>
        <v>Boots</v>
      </c>
      <c r="C278">
        <v>2023</v>
      </c>
      <c r="D278">
        <v>5</v>
      </c>
      <c r="E278" t="str">
        <f>VLOOKUP(Simulated_Dept_Data[[#This Row],[SegmentID]],Table5[],2,FALSE)</f>
        <v>New Customers</v>
      </c>
      <c r="F278">
        <v>3</v>
      </c>
      <c r="G278" t="str">
        <f>IFERROR(VLOOKUP(Simulated_Dept_Data[[#This Row],[ProfileID]],Table57[],2,FALSE),"NO PROFILE")</f>
        <v>Mr. &amp; Mrs. Smiths</v>
      </c>
      <c r="H278">
        <v>14123.5</v>
      </c>
      <c r="I278">
        <v>4448</v>
      </c>
    </row>
    <row r="279" spans="1:9" x14ac:dyDescent="0.25">
      <c r="A279" t="s">
        <v>8</v>
      </c>
      <c r="B279" t="str">
        <f>VLOOKUP(Simulated_Dept_Data[[#This Row],[DepartmentID]],Table578[],2,FALSE)</f>
        <v>Boots</v>
      </c>
      <c r="C279">
        <v>2023</v>
      </c>
      <c r="D279">
        <v>5</v>
      </c>
      <c r="E279" t="str">
        <f>VLOOKUP(Simulated_Dept_Data[[#This Row],[SegmentID]],Table5[],2,FALSE)</f>
        <v>New Customers</v>
      </c>
      <c r="F279">
        <v>4</v>
      </c>
      <c r="G279" t="str">
        <f>IFERROR(VLOOKUP(Simulated_Dept_Data[[#This Row],[ProfileID]],Table57[],2,FALSE),"NO PROFILE")</f>
        <v>Blue Collar Royalty</v>
      </c>
      <c r="H279">
        <v>17.600000000000001</v>
      </c>
      <c r="I279">
        <v>157</v>
      </c>
    </row>
    <row r="280" spans="1:9" x14ac:dyDescent="0.25">
      <c r="A280" t="s">
        <v>8</v>
      </c>
      <c r="B280" t="str">
        <f>VLOOKUP(Simulated_Dept_Data[[#This Row],[DepartmentID]],Table578[],2,FALSE)</f>
        <v>Boots</v>
      </c>
      <c r="C280">
        <v>2023</v>
      </c>
      <c r="D280">
        <v>5</v>
      </c>
      <c r="E280" t="str">
        <f>VLOOKUP(Simulated_Dept_Data[[#This Row],[SegmentID]],Table5[],2,FALSE)</f>
        <v>New Customers</v>
      </c>
      <c r="F280">
        <v>5</v>
      </c>
      <c r="G280" t="str">
        <f>IFERROR(VLOOKUP(Simulated_Dept_Data[[#This Row],[ProfileID]],Table57[],2,FALSE),"NO PROFILE")</f>
        <v>Pinched Pockets</v>
      </c>
      <c r="H280">
        <v>21.47</v>
      </c>
      <c r="I280">
        <v>173</v>
      </c>
    </row>
    <row r="281" spans="1:9" x14ac:dyDescent="0.25">
      <c r="A281" t="s">
        <v>8</v>
      </c>
      <c r="B281" t="str">
        <f>VLOOKUP(Simulated_Dept_Data[[#This Row],[DepartmentID]],Table578[],2,FALSE)</f>
        <v>Boots</v>
      </c>
      <c r="C281">
        <v>2023</v>
      </c>
      <c r="D281">
        <v>5</v>
      </c>
      <c r="E281" t="str">
        <f>VLOOKUP(Simulated_Dept_Data[[#This Row],[SegmentID]],Table5[],2,FALSE)</f>
        <v>New Customers</v>
      </c>
      <c r="F281">
        <v>6</v>
      </c>
      <c r="G281" t="str">
        <f>IFERROR(VLOOKUP(Simulated_Dept_Data[[#This Row],[ProfileID]],Table57[],2,FALSE),"NO PROFILE")</f>
        <v>Normal Families</v>
      </c>
      <c r="H281">
        <v>107.23</v>
      </c>
      <c r="I281">
        <v>388</v>
      </c>
    </row>
    <row r="282" spans="1:9" x14ac:dyDescent="0.25">
      <c r="A282" t="s">
        <v>9</v>
      </c>
      <c r="B282" t="str">
        <f>VLOOKUP(Simulated_Dept_Data[[#This Row],[DepartmentID]],Table578[],2,FALSE)</f>
        <v>Boot Accessories</v>
      </c>
      <c r="C282">
        <v>2022</v>
      </c>
      <c r="D282">
        <v>1</v>
      </c>
      <c r="E282" t="str">
        <f>VLOOKUP(Simulated_Dept_Data[[#This Row],[SegmentID]],Table5[],2,FALSE)</f>
        <v>Elite Customers</v>
      </c>
      <c r="G282" t="str">
        <f>IFERROR(VLOOKUP(Simulated_Dept_Data[[#This Row],[ProfileID]],Table57[],2,FALSE),"NO PROFILE")</f>
        <v>NO PROFILE</v>
      </c>
      <c r="H282">
        <v>997.26</v>
      </c>
      <c r="I282">
        <v>475</v>
      </c>
    </row>
    <row r="283" spans="1:9" x14ac:dyDescent="0.25">
      <c r="A283" t="s">
        <v>9</v>
      </c>
      <c r="B283" t="str">
        <f>VLOOKUP(Simulated_Dept_Data[[#This Row],[DepartmentID]],Table578[],2,FALSE)</f>
        <v>Boot Accessories</v>
      </c>
      <c r="C283">
        <v>2022</v>
      </c>
      <c r="D283">
        <v>1</v>
      </c>
      <c r="E283" t="str">
        <f>VLOOKUP(Simulated_Dept_Data[[#This Row],[SegmentID]],Table5[],2,FALSE)</f>
        <v>Elite Customers</v>
      </c>
      <c r="F283">
        <v>1</v>
      </c>
      <c r="G283" t="str">
        <f>IFERROR(VLOOKUP(Simulated_Dept_Data[[#This Row],[ProfileID]],Table57[],2,FALSE),"NO PROFILE")</f>
        <v>City Slickers</v>
      </c>
      <c r="H283">
        <v>3142.63</v>
      </c>
      <c r="I283">
        <v>843</v>
      </c>
    </row>
    <row r="284" spans="1:9" x14ac:dyDescent="0.25">
      <c r="A284" t="s">
        <v>9</v>
      </c>
      <c r="B284" t="str">
        <f>VLOOKUP(Simulated_Dept_Data[[#This Row],[DepartmentID]],Table578[],2,FALSE)</f>
        <v>Boot Accessories</v>
      </c>
      <c r="C284">
        <v>2022</v>
      </c>
      <c r="D284">
        <v>1</v>
      </c>
      <c r="E284" t="str">
        <f>VLOOKUP(Simulated_Dept_Data[[#This Row],[SegmentID]],Table5[],2,FALSE)</f>
        <v>Elite Customers</v>
      </c>
      <c r="F284">
        <v>2</v>
      </c>
      <c r="G284" t="str">
        <f>IFERROR(VLOOKUP(Simulated_Dept_Data[[#This Row],[ProfileID]],Table57[],2,FALSE),"NO PROFILE")</f>
        <v>Rich &amp; Richer</v>
      </c>
      <c r="H284">
        <v>3574.04</v>
      </c>
      <c r="I284">
        <v>899</v>
      </c>
    </row>
    <row r="285" spans="1:9" x14ac:dyDescent="0.25">
      <c r="A285" t="s">
        <v>9</v>
      </c>
      <c r="B285" t="str">
        <f>VLOOKUP(Simulated_Dept_Data[[#This Row],[DepartmentID]],Table578[],2,FALSE)</f>
        <v>Boot Accessories</v>
      </c>
      <c r="C285">
        <v>2022</v>
      </c>
      <c r="D285">
        <v>1</v>
      </c>
      <c r="E285" t="str">
        <f>VLOOKUP(Simulated_Dept_Data[[#This Row],[SegmentID]],Table5[],2,FALSE)</f>
        <v>Elite Customers</v>
      </c>
      <c r="F285">
        <v>3</v>
      </c>
      <c r="G285" t="str">
        <f>IFERROR(VLOOKUP(Simulated_Dept_Data[[#This Row],[ProfileID]],Table57[],2,FALSE),"NO PROFILE")</f>
        <v>Mr. &amp; Mrs. Smiths</v>
      </c>
      <c r="H285">
        <v>3655.66</v>
      </c>
      <c r="I285">
        <v>909</v>
      </c>
    </row>
    <row r="286" spans="1:9" x14ac:dyDescent="0.25">
      <c r="A286" t="s">
        <v>9</v>
      </c>
      <c r="B286" t="str">
        <f>VLOOKUP(Simulated_Dept_Data[[#This Row],[DepartmentID]],Table578[],2,FALSE)</f>
        <v>Boot Accessories</v>
      </c>
      <c r="C286">
        <v>2022</v>
      </c>
      <c r="D286">
        <v>1</v>
      </c>
      <c r="E286" t="str">
        <f>VLOOKUP(Simulated_Dept_Data[[#This Row],[SegmentID]],Table5[],2,FALSE)</f>
        <v>Elite Customers</v>
      </c>
      <c r="F286">
        <v>4</v>
      </c>
      <c r="G286" t="str">
        <f>IFERROR(VLOOKUP(Simulated_Dept_Data[[#This Row],[ProfileID]],Table57[],2,FALSE),"NO PROFILE")</f>
        <v>Blue Collar Royalty</v>
      </c>
      <c r="H286">
        <v>1000.27</v>
      </c>
      <c r="I286">
        <v>475</v>
      </c>
    </row>
    <row r="287" spans="1:9" x14ac:dyDescent="0.25">
      <c r="A287" t="s">
        <v>9</v>
      </c>
      <c r="B287" t="str">
        <f>VLOOKUP(Simulated_Dept_Data[[#This Row],[DepartmentID]],Table578[],2,FALSE)</f>
        <v>Boot Accessories</v>
      </c>
      <c r="C287">
        <v>2022</v>
      </c>
      <c r="D287">
        <v>1</v>
      </c>
      <c r="E287" t="str">
        <f>VLOOKUP(Simulated_Dept_Data[[#This Row],[SegmentID]],Table5[],2,FALSE)</f>
        <v>Elite Customers</v>
      </c>
      <c r="F287">
        <v>5</v>
      </c>
      <c r="G287" t="str">
        <f>IFERROR(VLOOKUP(Simulated_Dept_Data[[#This Row],[ProfileID]],Table57[],2,FALSE),"NO PROFILE")</f>
        <v>Pinched Pockets</v>
      </c>
      <c r="H287">
        <v>4843.72</v>
      </c>
      <c r="I287">
        <v>1046</v>
      </c>
    </row>
    <row r="288" spans="1:9" x14ac:dyDescent="0.25">
      <c r="A288" t="s">
        <v>9</v>
      </c>
      <c r="B288" t="str">
        <f>VLOOKUP(Simulated_Dept_Data[[#This Row],[DepartmentID]],Table578[],2,FALSE)</f>
        <v>Boot Accessories</v>
      </c>
      <c r="C288">
        <v>2022</v>
      </c>
      <c r="D288">
        <v>1</v>
      </c>
      <c r="E288" t="str">
        <f>VLOOKUP(Simulated_Dept_Data[[#This Row],[SegmentID]],Table5[],2,FALSE)</f>
        <v>Elite Customers</v>
      </c>
      <c r="F288">
        <v>6</v>
      </c>
      <c r="G288" t="str">
        <f>IFERROR(VLOOKUP(Simulated_Dept_Data[[#This Row],[ProfileID]],Table57[],2,FALSE),"NO PROFILE")</f>
        <v>Normal Families</v>
      </c>
      <c r="H288">
        <v>761</v>
      </c>
      <c r="I288">
        <v>415</v>
      </c>
    </row>
    <row r="289" spans="1:9" x14ac:dyDescent="0.25">
      <c r="A289" t="s">
        <v>9</v>
      </c>
      <c r="B289" t="str">
        <f>VLOOKUP(Simulated_Dept_Data[[#This Row],[DepartmentID]],Table578[],2,FALSE)</f>
        <v>Boot Accessories</v>
      </c>
      <c r="C289">
        <v>2022</v>
      </c>
      <c r="D289">
        <v>2</v>
      </c>
      <c r="E289" t="str">
        <f>VLOOKUP(Simulated_Dept_Data[[#This Row],[SegmentID]],Table5[],2,FALSE)</f>
        <v>Core Customers</v>
      </c>
      <c r="G289" t="str">
        <f>IFERROR(VLOOKUP(Simulated_Dept_Data[[#This Row],[ProfileID]],Table57[],2,FALSE),"NO PROFILE")</f>
        <v>NO PROFILE</v>
      </c>
      <c r="H289">
        <v>4012.61</v>
      </c>
      <c r="I289">
        <v>923</v>
      </c>
    </row>
    <row r="290" spans="1:9" x14ac:dyDescent="0.25">
      <c r="A290" t="s">
        <v>9</v>
      </c>
      <c r="B290" t="str">
        <f>VLOOKUP(Simulated_Dept_Data[[#This Row],[DepartmentID]],Table578[],2,FALSE)</f>
        <v>Boot Accessories</v>
      </c>
      <c r="C290">
        <v>2022</v>
      </c>
      <c r="D290">
        <v>2</v>
      </c>
      <c r="E290" t="str">
        <f>VLOOKUP(Simulated_Dept_Data[[#This Row],[SegmentID]],Table5[],2,FALSE)</f>
        <v>Core Customers</v>
      </c>
      <c r="F290">
        <v>1</v>
      </c>
      <c r="G290" t="str">
        <f>IFERROR(VLOOKUP(Simulated_Dept_Data[[#This Row],[ProfileID]],Table57[],2,FALSE),"NO PROFILE")</f>
        <v>City Slickers</v>
      </c>
      <c r="H290">
        <v>959.97</v>
      </c>
      <c r="I290">
        <v>452</v>
      </c>
    </row>
    <row r="291" spans="1:9" x14ac:dyDescent="0.25">
      <c r="A291" t="s">
        <v>9</v>
      </c>
      <c r="B291" t="str">
        <f>VLOOKUP(Simulated_Dept_Data[[#This Row],[DepartmentID]],Table578[],2,FALSE)</f>
        <v>Boot Accessories</v>
      </c>
      <c r="C291">
        <v>2022</v>
      </c>
      <c r="D291">
        <v>2</v>
      </c>
      <c r="E291" t="str">
        <f>VLOOKUP(Simulated_Dept_Data[[#This Row],[SegmentID]],Table5[],2,FALSE)</f>
        <v>Core Customers</v>
      </c>
      <c r="F291">
        <v>2</v>
      </c>
      <c r="G291" t="str">
        <f>IFERROR(VLOOKUP(Simulated_Dept_Data[[#This Row],[ProfileID]],Table57[],2,FALSE),"NO PROFILE")</f>
        <v>Rich &amp; Richer</v>
      </c>
      <c r="H291">
        <v>1534.78</v>
      </c>
      <c r="I291">
        <v>571</v>
      </c>
    </row>
    <row r="292" spans="1:9" x14ac:dyDescent="0.25">
      <c r="A292" t="s">
        <v>9</v>
      </c>
      <c r="B292" t="str">
        <f>VLOOKUP(Simulated_Dept_Data[[#This Row],[DepartmentID]],Table578[],2,FALSE)</f>
        <v>Boot Accessories</v>
      </c>
      <c r="C292">
        <v>2022</v>
      </c>
      <c r="D292">
        <v>2</v>
      </c>
      <c r="E292" t="str">
        <f>VLOOKUP(Simulated_Dept_Data[[#This Row],[SegmentID]],Table5[],2,FALSE)</f>
        <v>Core Customers</v>
      </c>
      <c r="F292">
        <v>3</v>
      </c>
      <c r="G292" t="str">
        <f>IFERROR(VLOOKUP(Simulated_Dept_Data[[#This Row],[ProfileID]],Table57[],2,FALSE),"NO PROFILE")</f>
        <v>Mr. &amp; Mrs. Smiths</v>
      </c>
      <c r="H292">
        <v>3359.09</v>
      </c>
      <c r="I292">
        <v>845</v>
      </c>
    </row>
    <row r="293" spans="1:9" x14ac:dyDescent="0.25">
      <c r="A293" t="s">
        <v>9</v>
      </c>
      <c r="B293" t="str">
        <f>VLOOKUP(Simulated_Dept_Data[[#This Row],[DepartmentID]],Table578[],2,FALSE)</f>
        <v>Boot Accessories</v>
      </c>
      <c r="C293">
        <v>2022</v>
      </c>
      <c r="D293">
        <v>2</v>
      </c>
      <c r="E293" t="str">
        <f>VLOOKUP(Simulated_Dept_Data[[#This Row],[SegmentID]],Table5[],2,FALSE)</f>
        <v>Core Customers</v>
      </c>
      <c r="F293">
        <v>4</v>
      </c>
      <c r="G293" t="str">
        <f>IFERROR(VLOOKUP(Simulated_Dept_Data[[#This Row],[ProfileID]],Table57[],2,FALSE),"NO PROFILE")</f>
        <v>Blue Collar Royalty</v>
      </c>
      <c r="H293">
        <v>2.36</v>
      </c>
      <c r="I293">
        <v>22</v>
      </c>
    </row>
    <row r="294" spans="1:9" x14ac:dyDescent="0.25">
      <c r="A294" t="s">
        <v>9</v>
      </c>
      <c r="B294" t="str">
        <f>VLOOKUP(Simulated_Dept_Data[[#This Row],[DepartmentID]],Table578[],2,FALSE)</f>
        <v>Boot Accessories</v>
      </c>
      <c r="C294">
        <v>2022</v>
      </c>
      <c r="D294">
        <v>2</v>
      </c>
      <c r="E294" t="str">
        <f>VLOOKUP(Simulated_Dept_Data[[#This Row],[SegmentID]],Table5[],2,FALSE)</f>
        <v>Core Customers</v>
      </c>
      <c r="F294">
        <v>5</v>
      </c>
      <c r="G294" t="str">
        <f>IFERROR(VLOOKUP(Simulated_Dept_Data[[#This Row],[ProfileID]],Table57[],2,FALSE),"NO PROFILE")</f>
        <v>Pinched Pockets</v>
      </c>
      <c r="H294">
        <v>697.77</v>
      </c>
      <c r="I294">
        <v>385</v>
      </c>
    </row>
    <row r="295" spans="1:9" x14ac:dyDescent="0.25">
      <c r="A295" t="s">
        <v>9</v>
      </c>
      <c r="B295" t="str">
        <f>VLOOKUP(Simulated_Dept_Data[[#This Row],[DepartmentID]],Table578[],2,FALSE)</f>
        <v>Boot Accessories</v>
      </c>
      <c r="C295">
        <v>2022</v>
      </c>
      <c r="D295">
        <v>2</v>
      </c>
      <c r="E295" t="str">
        <f>VLOOKUP(Simulated_Dept_Data[[#This Row],[SegmentID]],Table5[],2,FALSE)</f>
        <v>Core Customers</v>
      </c>
      <c r="F295">
        <v>6</v>
      </c>
      <c r="G295" t="str">
        <f>IFERROR(VLOOKUP(Simulated_Dept_Data[[#This Row],[ProfileID]],Table57[],2,FALSE),"NO PROFILE")</f>
        <v>Normal Families</v>
      </c>
      <c r="H295">
        <v>419.97</v>
      </c>
      <c r="I295">
        <v>299</v>
      </c>
    </row>
    <row r="296" spans="1:9" x14ac:dyDescent="0.25">
      <c r="A296" t="s">
        <v>9</v>
      </c>
      <c r="B296" t="str">
        <f>VLOOKUP(Simulated_Dept_Data[[#This Row],[DepartmentID]],Table578[],2,FALSE)</f>
        <v>Boot Accessories</v>
      </c>
      <c r="C296">
        <v>2022</v>
      </c>
      <c r="D296">
        <v>3</v>
      </c>
      <c r="E296" t="str">
        <f>VLOOKUP(Simulated_Dept_Data[[#This Row],[SegmentID]],Table5[],2,FALSE)</f>
        <v>Power Shoppers</v>
      </c>
      <c r="G296" t="str">
        <f>IFERROR(VLOOKUP(Simulated_Dept_Data[[#This Row],[ProfileID]],Table57[],2,FALSE),"NO PROFILE")</f>
        <v>NO PROFILE</v>
      </c>
      <c r="H296">
        <v>758.1</v>
      </c>
      <c r="I296">
        <v>395</v>
      </c>
    </row>
    <row r="297" spans="1:9" x14ac:dyDescent="0.25">
      <c r="A297" t="s">
        <v>9</v>
      </c>
      <c r="B297" t="str">
        <f>VLOOKUP(Simulated_Dept_Data[[#This Row],[DepartmentID]],Table578[],2,FALSE)</f>
        <v>Boot Accessories</v>
      </c>
      <c r="C297">
        <v>2022</v>
      </c>
      <c r="D297">
        <v>3</v>
      </c>
      <c r="E297" t="str">
        <f>VLOOKUP(Simulated_Dept_Data[[#This Row],[SegmentID]],Table5[],2,FALSE)</f>
        <v>Power Shoppers</v>
      </c>
      <c r="F297">
        <v>1</v>
      </c>
      <c r="G297" t="str">
        <f>IFERROR(VLOOKUP(Simulated_Dept_Data[[#This Row],[ProfileID]],Table57[],2,FALSE),"NO PROFILE")</f>
        <v>City Slickers</v>
      </c>
      <c r="H297">
        <v>3630.45</v>
      </c>
      <c r="I297">
        <v>864</v>
      </c>
    </row>
    <row r="298" spans="1:9" x14ac:dyDescent="0.25">
      <c r="A298" t="s">
        <v>9</v>
      </c>
      <c r="B298" t="str">
        <f>VLOOKUP(Simulated_Dept_Data[[#This Row],[DepartmentID]],Table578[],2,FALSE)</f>
        <v>Boot Accessories</v>
      </c>
      <c r="C298">
        <v>2022</v>
      </c>
      <c r="D298">
        <v>3</v>
      </c>
      <c r="E298" t="str">
        <f>VLOOKUP(Simulated_Dept_Data[[#This Row],[SegmentID]],Table5[],2,FALSE)</f>
        <v>Power Shoppers</v>
      </c>
      <c r="F298">
        <v>2</v>
      </c>
      <c r="G298" t="str">
        <f>IFERROR(VLOOKUP(Simulated_Dept_Data[[#This Row],[ProfileID]],Table57[],2,FALSE),"NO PROFILE")</f>
        <v>Rich &amp; Richer</v>
      </c>
      <c r="H298">
        <v>496</v>
      </c>
      <c r="I298">
        <v>319</v>
      </c>
    </row>
    <row r="299" spans="1:9" x14ac:dyDescent="0.25">
      <c r="A299" t="s">
        <v>9</v>
      </c>
      <c r="B299" t="str">
        <f>VLOOKUP(Simulated_Dept_Data[[#This Row],[DepartmentID]],Table578[],2,FALSE)</f>
        <v>Boot Accessories</v>
      </c>
      <c r="C299">
        <v>2022</v>
      </c>
      <c r="D299">
        <v>3</v>
      </c>
      <c r="E299" t="str">
        <f>VLOOKUP(Simulated_Dept_Data[[#This Row],[SegmentID]],Table5[],2,FALSE)</f>
        <v>Power Shoppers</v>
      </c>
      <c r="F299">
        <v>3</v>
      </c>
      <c r="G299" t="str">
        <f>IFERROR(VLOOKUP(Simulated_Dept_Data[[#This Row],[ProfileID]],Table57[],2,FALSE),"NO PROFILE")</f>
        <v>Mr. &amp; Mrs. Smiths</v>
      </c>
      <c r="H299">
        <v>71.099999999999994</v>
      </c>
      <c r="I299">
        <v>121</v>
      </c>
    </row>
    <row r="300" spans="1:9" x14ac:dyDescent="0.25">
      <c r="A300" t="s">
        <v>9</v>
      </c>
      <c r="B300" t="str">
        <f>VLOOKUP(Simulated_Dept_Data[[#This Row],[DepartmentID]],Table578[],2,FALSE)</f>
        <v>Boot Accessories</v>
      </c>
      <c r="C300">
        <v>2022</v>
      </c>
      <c r="D300">
        <v>3</v>
      </c>
      <c r="E300" t="str">
        <f>VLOOKUP(Simulated_Dept_Data[[#This Row],[SegmentID]],Table5[],2,FALSE)</f>
        <v>Power Shoppers</v>
      </c>
      <c r="F300">
        <v>4</v>
      </c>
      <c r="G300" t="str">
        <f>IFERROR(VLOOKUP(Simulated_Dept_Data[[#This Row],[ProfileID]],Table57[],2,FALSE),"NO PROFILE")</f>
        <v>Blue Collar Royalty</v>
      </c>
      <c r="H300">
        <v>2135.3000000000002</v>
      </c>
      <c r="I300">
        <v>663</v>
      </c>
    </row>
    <row r="301" spans="1:9" x14ac:dyDescent="0.25">
      <c r="A301" t="s">
        <v>9</v>
      </c>
      <c r="B301" t="str">
        <f>VLOOKUP(Simulated_Dept_Data[[#This Row],[DepartmentID]],Table578[],2,FALSE)</f>
        <v>Boot Accessories</v>
      </c>
      <c r="C301">
        <v>2022</v>
      </c>
      <c r="D301">
        <v>3</v>
      </c>
      <c r="E301" t="str">
        <f>VLOOKUP(Simulated_Dept_Data[[#This Row],[SegmentID]],Table5[],2,FALSE)</f>
        <v>Power Shoppers</v>
      </c>
      <c r="F301">
        <v>5</v>
      </c>
      <c r="G301" t="str">
        <f>IFERROR(VLOOKUP(Simulated_Dept_Data[[#This Row],[ProfileID]],Table57[],2,FALSE),"NO PROFILE")</f>
        <v>Pinched Pockets</v>
      </c>
      <c r="H301">
        <v>770.39</v>
      </c>
      <c r="I301">
        <v>398</v>
      </c>
    </row>
    <row r="302" spans="1:9" x14ac:dyDescent="0.25">
      <c r="A302" t="s">
        <v>9</v>
      </c>
      <c r="B302" t="str">
        <f>VLOOKUP(Simulated_Dept_Data[[#This Row],[DepartmentID]],Table578[],2,FALSE)</f>
        <v>Boot Accessories</v>
      </c>
      <c r="C302">
        <v>2022</v>
      </c>
      <c r="D302">
        <v>3</v>
      </c>
      <c r="E302" t="str">
        <f>VLOOKUP(Simulated_Dept_Data[[#This Row],[SegmentID]],Table5[],2,FALSE)</f>
        <v>Power Shoppers</v>
      </c>
      <c r="F302">
        <v>6</v>
      </c>
      <c r="G302" t="str">
        <f>IFERROR(VLOOKUP(Simulated_Dept_Data[[#This Row],[ProfileID]],Table57[],2,FALSE),"NO PROFILE")</f>
        <v>Normal Families</v>
      </c>
      <c r="H302">
        <v>22.33</v>
      </c>
      <c r="I302">
        <v>68</v>
      </c>
    </row>
    <row r="303" spans="1:9" x14ac:dyDescent="0.25">
      <c r="A303" t="s">
        <v>9</v>
      </c>
      <c r="B303" t="str">
        <f>VLOOKUP(Simulated_Dept_Data[[#This Row],[DepartmentID]],Table578[],2,FALSE)</f>
        <v>Boot Accessories</v>
      </c>
      <c r="C303">
        <v>2022</v>
      </c>
      <c r="D303">
        <v>4</v>
      </c>
      <c r="E303" t="str">
        <f>VLOOKUP(Simulated_Dept_Data[[#This Row],[SegmentID]],Table5[],2,FALSE)</f>
        <v>Infrequent Customers</v>
      </c>
      <c r="G303" t="str">
        <f>IFERROR(VLOOKUP(Simulated_Dept_Data[[#This Row],[ProfileID]],Table57[],2,FALSE),"NO PROFILE")</f>
        <v>NO PROFILE</v>
      </c>
      <c r="H303">
        <v>1113.33</v>
      </c>
      <c r="I303">
        <v>479</v>
      </c>
    </row>
    <row r="304" spans="1:9" x14ac:dyDescent="0.25">
      <c r="A304" t="s">
        <v>9</v>
      </c>
      <c r="B304" t="str">
        <f>VLOOKUP(Simulated_Dept_Data[[#This Row],[DepartmentID]],Table578[],2,FALSE)</f>
        <v>Boot Accessories</v>
      </c>
      <c r="C304">
        <v>2022</v>
      </c>
      <c r="D304">
        <v>4</v>
      </c>
      <c r="E304" t="str">
        <f>VLOOKUP(Simulated_Dept_Data[[#This Row],[SegmentID]],Table5[],2,FALSE)</f>
        <v>Infrequent Customers</v>
      </c>
      <c r="F304">
        <v>1</v>
      </c>
      <c r="G304" t="str">
        <f>IFERROR(VLOOKUP(Simulated_Dept_Data[[#This Row],[ProfileID]],Table57[],2,FALSE),"NO PROFILE")</f>
        <v>City Slickers</v>
      </c>
      <c r="H304">
        <v>4478.24</v>
      </c>
      <c r="I304">
        <v>961</v>
      </c>
    </row>
    <row r="305" spans="1:9" x14ac:dyDescent="0.25">
      <c r="A305" t="s">
        <v>9</v>
      </c>
      <c r="B305" t="str">
        <f>VLOOKUP(Simulated_Dept_Data[[#This Row],[DepartmentID]],Table578[],2,FALSE)</f>
        <v>Boot Accessories</v>
      </c>
      <c r="C305">
        <v>2022</v>
      </c>
      <c r="D305">
        <v>4</v>
      </c>
      <c r="E305" t="str">
        <f>VLOOKUP(Simulated_Dept_Data[[#This Row],[SegmentID]],Table5[],2,FALSE)</f>
        <v>Infrequent Customers</v>
      </c>
      <c r="F305">
        <v>2</v>
      </c>
      <c r="G305" t="str">
        <f>IFERROR(VLOOKUP(Simulated_Dept_Data[[#This Row],[ProfileID]],Table57[],2,FALSE),"NO PROFILE")</f>
        <v>Rich &amp; Richer</v>
      </c>
      <c r="H305">
        <v>104.46</v>
      </c>
      <c r="I305">
        <v>147</v>
      </c>
    </row>
    <row r="306" spans="1:9" x14ac:dyDescent="0.25">
      <c r="A306" t="s">
        <v>9</v>
      </c>
      <c r="B306" t="str">
        <f>VLOOKUP(Simulated_Dept_Data[[#This Row],[DepartmentID]],Table578[],2,FALSE)</f>
        <v>Boot Accessories</v>
      </c>
      <c r="C306">
        <v>2022</v>
      </c>
      <c r="D306">
        <v>4</v>
      </c>
      <c r="E306" t="str">
        <f>VLOOKUP(Simulated_Dept_Data[[#This Row],[SegmentID]],Table5[],2,FALSE)</f>
        <v>Infrequent Customers</v>
      </c>
      <c r="F306">
        <v>3</v>
      </c>
      <c r="G306" t="str">
        <f>IFERROR(VLOOKUP(Simulated_Dept_Data[[#This Row],[ProfileID]],Table57[],2,FALSE),"NO PROFILE")</f>
        <v>Mr. &amp; Mrs. Smiths</v>
      </c>
      <c r="H306">
        <v>883.26</v>
      </c>
      <c r="I306">
        <v>427</v>
      </c>
    </row>
    <row r="307" spans="1:9" x14ac:dyDescent="0.25">
      <c r="A307" t="s">
        <v>9</v>
      </c>
      <c r="B307" t="str">
        <f>VLOOKUP(Simulated_Dept_Data[[#This Row],[DepartmentID]],Table578[],2,FALSE)</f>
        <v>Boot Accessories</v>
      </c>
      <c r="C307">
        <v>2022</v>
      </c>
      <c r="D307">
        <v>4</v>
      </c>
      <c r="E307" t="str">
        <f>VLOOKUP(Simulated_Dept_Data[[#This Row],[SegmentID]],Table5[],2,FALSE)</f>
        <v>Infrequent Customers</v>
      </c>
      <c r="F307">
        <v>4</v>
      </c>
      <c r="G307" t="str">
        <f>IFERROR(VLOOKUP(Simulated_Dept_Data[[#This Row],[ProfileID]],Table57[],2,FALSE),"NO PROFILE")</f>
        <v>Blue Collar Royalty</v>
      </c>
      <c r="H307">
        <v>4175.74</v>
      </c>
      <c r="I307">
        <v>928</v>
      </c>
    </row>
    <row r="308" spans="1:9" x14ac:dyDescent="0.25">
      <c r="A308" t="s">
        <v>9</v>
      </c>
      <c r="B308" t="str">
        <f>VLOOKUP(Simulated_Dept_Data[[#This Row],[DepartmentID]],Table578[],2,FALSE)</f>
        <v>Boot Accessories</v>
      </c>
      <c r="C308">
        <v>2022</v>
      </c>
      <c r="D308">
        <v>4</v>
      </c>
      <c r="E308" t="str">
        <f>VLOOKUP(Simulated_Dept_Data[[#This Row],[SegmentID]],Table5[],2,FALSE)</f>
        <v>Infrequent Customers</v>
      </c>
      <c r="F308">
        <v>5</v>
      </c>
      <c r="G308" t="str">
        <f>IFERROR(VLOOKUP(Simulated_Dept_Data[[#This Row],[ProfileID]],Table57[],2,FALSE),"NO PROFILE")</f>
        <v>Pinched Pockets</v>
      </c>
      <c r="H308">
        <v>8.89</v>
      </c>
      <c r="I308">
        <v>43</v>
      </c>
    </row>
    <row r="309" spans="1:9" x14ac:dyDescent="0.25">
      <c r="A309" t="s">
        <v>9</v>
      </c>
      <c r="B309" t="str">
        <f>VLOOKUP(Simulated_Dept_Data[[#This Row],[DepartmentID]],Table578[],2,FALSE)</f>
        <v>Boot Accessories</v>
      </c>
      <c r="C309">
        <v>2022</v>
      </c>
      <c r="D309">
        <v>4</v>
      </c>
      <c r="E309" t="str">
        <f>VLOOKUP(Simulated_Dept_Data[[#This Row],[SegmentID]],Table5[],2,FALSE)</f>
        <v>Infrequent Customers</v>
      </c>
      <c r="F309">
        <v>6</v>
      </c>
      <c r="G309" t="str">
        <f>IFERROR(VLOOKUP(Simulated_Dept_Data[[#This Row],[ProfileID]],Table57[],2,FALSE),"NO PROFILE")</f>
        <v>Normal Families</v>
      </c>
      <c r="H309">
        <v>448.97</v>
      </c>
      <c r="I309">
        <v>304</v>
      </c>
    </row>
    <row r="310" spans="1:9" x14ac:dyDescent="0.25">
      <c r="A310" t="s">
        <v>9</v>
      </c>
      <c r="B310" t="str">
        <f>VLOOKUP(Simulated_Dept_Data[[#This Row],[DepartmentID]],Table578[],2,FALSE)</f>
        <v>Boot Accessories</v>
      </c>
      <c r="C310">
        <v>2022</v>
      </c>
      <c r="D310">
        <v>5</v>
      </c>
      <c r="E310" t="str">
        <f>VLOOKUP(Simulated_Dept_Data[[#This Row],[SegmentID]],Table5[],2,FALSE)</f>
        <v>New Customers</v>
      </c>
      <c r="G310" t="str">
        <f>IFERROR(VLOOKUP(Simulated_Dept_Data[[#This Row],[ProfileID]],Table57[],2,FALSE),"NO PROFILE")</f>
        <v>NO PROFILE</v>
      </c>
      <c r="H310">
        <v>7068.85</v>
      </c>
      <c r="I310">
        <v>1177</v>
      </c>
    </row>
    <row r="311" spans="1:9" x14ac:dyDescent="0.25">
      <c r="A311" t="s">
        <v>9</v>
      </c>
      <c r="B311" t="str">
        <f>VLOOKUP(Simulated_Dept_Data[[#This Row],[DepartmentID]],Table578[],2,FALSE)</f>
        <v>Boot Accessories</v>
      </c>
      <c r="C311">
        <v>2022</v>
      </c>
      <c r="D311">
        <v>5</v>
      </c>
      <c r="E311" t="str">
        <f>VLOOKUP(Simulated_Dept_Data[[#This Row],[SegmentID]],Table5[],2,FALSE)</f>
        <v>New Customers</v>
      </c>
      <c r="F311">
        <v>1</v>
      </c>
      <c r="G311" t="str">
        <f>IFERROR(VLOOKUP(Simulated_Dept_Data[[#This Row],[ProfileID]],Table57[],2,FALSE),"NO PROFILE")</f>
        <v>City Slickers</v>
      </c>
      <c r="H311">
        <v>2383.7399999999998</v>
      </c>
      <c r="I311">
        <v>684</v>
      </c>
    </row>
    <row r="312" spans="1:9" x14ac:dyDescent="0.25">
      <c r="A312" t="s">
        <v>9</v>
      </c>
      <c r="B312" t="str">
        <f>VLOOKUP(Simulated_Dept_Data[[#This Row],[DepartmentID]],Table578[],2,FALSE)</f>
        <v>Boot Accessories</v>
      </c>
      <c r="C312">
        <v>2022</v>
      </c>
      <c r="D312">
        <v>5</v>
      </c>
      <c r="E312" t="str">
        <f>VLOOKUP(Simulated_Dept_Data[[#This Row],[SegmentID]],Table5[],2,FALSE)</f>
        <v>New Customers</v>
      </c>
      <c r="F312">
        <v>2</v>
      </c>
      <c r="G312" t="str">
        <f>IFERROR(VLOOKUP(Simulated_Dept_Data[[#This Row],[ProfileID]],Table57[],2,FALSE),"NO PROFILE")</f>
        <v>Rich &amp; Richer</v>
      </c>
      <c r="H312">
        <v>5123.33</v>
      </c>
      <c r="I312">
        <v>1002</v>
      </c>
    </row>
    <row r="313" spans="1:9" x14ac:dyDescent="0.25">
      <c r="A313" t="s">
        <v>9</v>
      </c>
      <c r="B313" t="str">
        <f>VLOOKUP(Simulated_Dept_Data[[#This Row],[DepartmentID]],Table578[],2,FALSE)</f>
        <v>Boot Accessories</v>
      </c>
      <c r="C313">
        <v>2022</v>
      </c>
      <c r="D313">
        <v>5</v>
      </c>
      <c r="E313" t="str">
        <f>VLOOKUP(Simulated_Dept_Data[[#This Row],[SegmentID]],Table5[],2,FALSE)</f>
        <v>New Customers</v>
      </c>
      <c r="F313">
        <v>3</v>
      </c>
      <c r="G313" t="str">
        <f>IFERROR(VLOOKUP(Simulated_Dept_Data[[#This Row],[ProfileID]],Table57[],2,FALSE),"NO PROFILE")</f>
        <v>Mr. &amp; Mrs. Smiths</v>
      </c>
      <c r="H313">
        <v>7837.41</v>
      </c>
      <c r="I313">
        <v>1240</v>
      </c>
    </row>
    <row r="314" spans="1:9" x14ac:dyDescent="0.25">
      <c r="A314" t="s">
        <v>9</v>
      </c>
      <c r="B314" t="str">
        <f>VLOOKUP(Simulated_Dept_Data[[#This Row],[DepartmentID]],Table578[],2,FALSE)</f>
        <v>Boot Accessories</v>
      </c>
      <c r="C314">
        <v>2022</v>
      </c>
      <c r="D314">
        <v>5</v>
      </c>
      <c r="E314" t="str">
        <f>VLOOKUP(Simulated_Dept_Data[[#This Row],[SegmentID]],Table5[],2,FALSE)</f>
        <v>New Customers</v>
      </c>
      <c r="F314">
        <v>4</v>
      </c>
      <c r="G314" t="str">
        <f>IFERROR(VLOOKUP(Simulated_Dept_Data[[#This Row],[ProfileID]],Table57[],2,FALSE),"NO PROFILE")</f>
        <v>Blue Collar Royalty</v>
      </c>
      <c r="H314">
        <v>9.77</v>
      </c>
      <c r="I314">
        <v>44</v>
      </c>
    </row>
    <row r="315" spans="1:9" x14ac:dyDescent="0.25">
      <c r="A315" t="s">
        <v>9</v>
      </c>
      <c r="B315" t="str">
        <f>VLOOKUP(Simulated_Dept_Data[[#This Row],[DepartmentID]],Table578[],2,FALSE)</f>
        <v>Boot Accessories</v>
      </c>
      <c r="C315">
        <v>2022</v>
      </c>
      <c r="D315">
        <v>5</v>
      </c>
      <c r="E315" t="str">
        <f>VLOOKUP(Simulated_Dept_Data[[#This Row],[SegmentID]],Table5[],2,FALSE)</f>
        <v>New Customers</v>
      </c>
      <c r="F315">
        <v>5</v>
      </c>
      <c r="G315" t="str">
        <f>IFERROR(VLOOKUP(Simulated_Dept_Data[[#This Row],[ProfileID]],Table57[],2,FALSE),"NO PROFILE")</f>
        <v>Pinched Pockets</v>
      </c>
      <c r="H315">
        <v>11.91</v>
      </c>
      <c r="I315">
        <v>48</v>
      </c>
    </row>
    <row r="316" spans="1:9" x14ac:dyDescent="0.25">
      <c r="A316" t="s">
        <v>9</v>
      </c>
      <c r="B316" t="str">
        <f>VLOOKUP(Simulated_Dept_Data[[#This Row],[DepartmentID]],Table578[],2,FALSE)</f>
        <v>Boot Accessories</v>
      </c>
      <c r="C316">
        <v>2022</v>
      </c>
      <c r="D316">
        <v>5</v>
      </c>
      <c r="E316" t="str">
        <f>VLOOKUP(Simulated_Dept_Data[[#This Row],[SegmentID]],Table5[],2,FALSE)</f>
        <v>New Customers</v>
      </c>
      <c r="F316">
        <v>6</v>
      </c>
      <c r="G316" t="str">
        <f>IFERROR(VLOOKUP(Simulated_Dept_Data[[#This Row],[ProfileID]],Table57[],2,FALSE),"NO PROFILE")</f>
        <v>Normal Families</v>
      </c>
      <c r="H316">
        <v>59.51</v>
      </c>
      <c r="I316">
        <v>108</v>
      </c>
    </row>
    <row r="317" spans="1:9" x14ac:dyDescent="0.25">
      <c r="A317" t="s">
        <v>9</v>
      </c>
      <c r="B317" t="str">
        <f>VLOOKUP(Simulated_Dept_Data[[#This Row],[DepartmentID]],Table578[],2,FALSE)</f>
        <v>Boot Accessories</v>
      </c>
      <c r="C317">
        <v>2023</v>
      </c>
      <c r="D317">
        <v>1</v>
      </c>
      <c r="E317" t="str">
        <f>VLOOKUP(Simulated_Dept_Data[[#This Row],[SegmentID]],Table5[],2,FALSE)</f>
        <v>Elite Customers</v>
      </c>
      <c r="G317" t="str">
        <f>IFERROR(VLOOKUP(Simulated_Dept_Data[[#This Row],[ProfileID]],Table57[],2,FALSE),"NO PROFILE")</f>
        <v>NO PROFILE</v>
      </c>
      <c r="H317">
        <v>1140.3399999999999</v>
      </c>
      <c r="I317">
        <v>442</v>
      </c>
    </row>
    <row r="318" spans="1:9" x14ac:dyDescent="0.25">
      <c r="A318" t="s">
        <v>9</v>
      </c>
      <c r="B318" t="str">
        <f>VLOOKUP(Simulated_Dept_Data[[#This Row],[DepartmentID]],Table578[],2,FALSE)</f>
        <v>Boot Accessories</v>
      </c>
      <c r="C318">
        <v>2023</v>
      </c>
      <c r="D318">
        <v>1</v>
      </c>
      <c r="E318" t="str">
        <f>VLOOKUP(Simulated_Dept_Data[[#This Row],[SegmentID]],Table5[],2,FALSE)</f>
        <v>Elite Customers</v>
      </c>
      <c r="F318">
        <v>1</v>
      </c>
      <c r="G318" t="str">
        <f>IFERROR(VLOOKUP(Simulated_Dept_Data[[#This Row],[ProfileID]],Table57[],2,FALSE),"NO PROFILE")</f>
        <v>City Slickers</v>
      </c>
      <c r="H318">
        <v>3593.53</v>
      </c>
      <c r="I318">
        <v>785</v>
      </c>
    </row>
    <row r="319" spans="1:9" x14ac:dyDescent="0.25">
      <c r="A319" t="s">
        <v>9</v>
      </c>
      <c r="B319" t="str">
        <f>VLOOKUP(Simulated_Dept_Data[[#This Row],[DepartmentID]],Table578[],2,FALSE)</f>
        <v>Boot Accessories</v>
      </c>
      <c r="C319">
        <v>2023</v>
      </c>
      <c r="D319">
        <v>1</v>
      </c>
      <c r="E319" t="str">
        <f>VLOOKUP(Simulated_Dept_Data[[#This Row],[SegmentID]],Table5[],2,FALSE)</f>
        <v>Elite Customers</v>
      </c>
      <c r="F319">
        <v>2</v>
      </c>
      <c r="G319" t="str">
        <f>IFERROR(VLOOKUP(Simulated_Dept_Data[[#This Row],[ProfileID]],Table57[],2,FALSE),"NO PROFILE")</f>
        <v>Rich &amp; Richer</v>
      </c>
      <c r="H319">
        <v>4086.84</v>
      </c>
      <c r="I319">
        <v>837</v>
      </c>
    </row>
    <row r="320" spans="1:9" x14ac:dyDescent="0.25">
      <c r="A320" t="s">
        <v>9</v>
      </c>
      <c r="B320" t="str">
        <f>VLOOKUP(Simulated_Dept_Data[[#This Row],[DepartmentID]],Table578[],2,FALSE)</f>
        <v>Boot Accessories</v>
      </c>
      <c r="C320">
        <v>2023</v>
      </c>
      <c r="D320">
        <v>1</v>
      </c>
      <c r="E320" t="str">
        <f>VLOOKUP(Simulated_Dept_Data[[#This Row],[SegmentID]],Table5[],2,FALSE)</f>
        <v>Elite Customers</v>
      </c>
      <c r="F320">
        <v>3</v>
      </c>
      <c r="G320" t="str">
        <f>IFERROR(VLOOKUP(Simulated_Dept_Data[[#This Row],[ProfileID]],Table57[],2,FALSE),"NO PROFILE")</f>
        <v>Mr. &amp; Mrs. Smiths</v>
      </c>
      <c r="H320">
        <v>4180.17</v>
      </c>
      <c r="I320">
        <v>846</v>
      </c>
    </row>
    <row r="321" spans="1:9" x14ac:dyDescent="0.25">
      <c r="A321" t="s">
        <v>9</v>
      </c>
      <c r="B321" t="str">
        <f>VLOOKUP(Simulated_Dept_Data[[#This Row],[DepartmentID]],Table578[],2,FALSE)</f>
        <v>Boot Accessories</v>
      </c>
      <c r="C321">
        <v>2023</v>
      </c>
      <c r="D321">
        <v>1</v>
      </c>
      <c r="E321" t="str">
        <f>VLOOKUP(Simulated_Dept_Data[[#This Row],[SegmentID]],Table5[],2,FALSE)</f>
        <v>Elite Customers</v>
      </c>
      <c r="F321">
        <v>4</v>
      </c>
      <c r="G321" t="str">
        <f>IFERROR(VLOOKUP(Simulated_Dept_Data[[#This Row],[ProfileID]],Table57[],2,FALSE),"NO PROFILE")</f>
        <v>Blue Collar Royalty</v>
      </c>
      <c r="H321">
        <v>1143.79</v>
      </c>
      <c r="I321">
        <v>443</v>
      </c>
    </row>
    <row r="322" spans="1:9" x14ac:dyDescent="0.25">
      <c r="A322" t="s">
        <v>9</v>
      </c>
      <c r="B322" t="str">
        <f>VLOOKUP(Simulated_Dept_Data[[#This Row],[DepartmentID]],Table578[],2,FALSE)</f>
        <v>Boot Accessories</v>
      </c>
      <c r="C322">
        <v>2023</v>
      </c>
      <c r="D322">
        <v>1</v>
      </c>
      <c r="E322" t="str">
        <f>VLOOKUP(Simulated_Dept_Data[[#This Row],[SegmentID]],Table5[],2,FALSE)</f>
        <v>Elite Customers</v>
      </c>
      <c r="F322">
        <v>5</v>
      </c>
      <c r="G322" t="str">
        <f>IFERROR(VLOOKUP(Simulated_Dept_Data[[#This Row],[ProfileID]],Table57[],2,FALSE),"NO PROFILE")</f>
        <v>Pinched Pockets</v>
      </c>
      <c r="H322">
        <v>5538.7</v>
      </c>
      <c r="I322">
        <v>974</v>
      </c>
    </row>
    <row r="323" spans="1:9" x14ac:dyDescent="0.25">
      <c r="A323" t="s">
        <v>9</v>
      </c>
      <c r="B323" t="str">
        <f>VLOOKUP(Simulated_Dept_Data[[#This Row],[DepartmentID]],Table578[],2,FALSE)</f>
        <v>Boot Accessories</v>
      </c>
      <c r="C323">
        <v>2023</v>
      </c>
      <c r="D323">
        <v>1</v>
      </c>
      <c r="E323" t="str">
        <f>VLOOKUP(Simulated_Dept_Data[[#This Row],[SegmentID]],Table5[],2,FALSE)</f>
        <v>Elite Customers</v>
      </c>
      <c r="F323">
        <v>6</v>
      </c>
      <c r="G323" t="str">
        <f>IFERROR(VLOOKUP(Simulated_Dept_Data[[#This Row],[ProfileID]],Table57[],2,FALSE),"NO PROFILE")</f>
        <v>Normal Families</v>
      </c>
      <c r="H323">
        <v>870.19</v>
      </c>
      <c r="I323">
        <v>386</v>
      </c>
    </row>
    <row r="324" spans="1:9" x14ac:dyDescent="0.25">
      <c r="A324" t="s">
        <v>9</v>
      </c>
      <c r="B324" t="str">
        <f>VLOOKUP(Simulated_Dept_Data[[#This Row],[DepartmentID]],Table578[],2,FALSE)</f>
        <v>Boot Accessories</v>
      </c>
      <c r="C324">
        <v>2023</v>
      </c>
      <c r="D324">
        <v>2</v>
      </c>
      <c r="E324" t="str">
        <f>VLOOKUP(Simulated_Dept_Data[[#This Row],[SegmentID]],Table5[],2,FALSE)</f>
        <v>Core Customers</v>
      </c>
      <c r="G324" t="str">
        <f>IFERROR(VLOOKUP(Simulated_Dept_Data[[#This Row],[ProfileID]],Table57[],2,FALSE),"NO PROFILE")</f>
        <v>NO PROFILE</v>
      </c>
      <c r="H324">
        <v>3812.77</v>
      </c>
      <c r="I324">
        <v>914</v>
      </c>
    </row>
    <row r="325" spans="1:9" x14ac:dyDescent="0.25">
      <c r="A325" t="s">
        <v>9</v>
      </c>
      <c r="B325" t="str">
        <f>VLOOKUP(Simulated_Dept_Data[[#This Row],[DepartmentID]],Table578[],2,FALSE)</f>
        <v>Boot Accessories</v>
      </c>
      <c r="C325">
        <v>2023</v>
      </c>
      <c r="D325">
        <v>2</v>
      </c>
      <c r="E325" t="str">
        <f>VLOOKUP(Simulated_Dept_Data[[#This Row],[SegmentID]],Table5[],2,FALSE)</f>
        <v>Core Customers</v>
      </c>
      <c r="F325">
        <v>1</v>
      </c>
      <c r="G325" t="str">
        <f>IFERROR(VLOOKUP(Simulated_Dept_Data[[#This Row],[ProfileID]],Table57[],2,FALSE),"NO PROFILE")</f>
        <v>City Slickers</v>
      </c>
      <c r="H325">
        <v>912.16</v>
      </c>
      <c r="I325">
        <v>447</v>
      </c>
    </row>
    <row r="326" spans="1:9" x14ac:dyDescent="0.25">
      <c r="A326" t="s">
        <v>9</v>
      </c>
      <c r="B326" t="str">
        <f>VLOOKUP(Simulated_Dept_Data[[#This Row],[DepartmentID]],Table578[],2,FALSE)</f>
        <v>Boot Accessories</v>
      </c>
      <c r="C326">
        <v>2023</v>
      </c>
      <c r="D326">
        <v>2</v>
      </c>
      <c r="E326" t="str">
        <f>VLOOKUP(Simulated_Dept_Data[[#This Row],[SegmentID]],Table5[],2,FALSE)</f>
        <v>Core Customers</v>
      </c>
      <c r="F326">
        <v>2</v>
      </c>
      <c r="G326" t="str">
        <f>IFERROR(VLOOKUP(Simulated_Dept_Data[[#This Row],[ProfileID]],Table57[],2,FALSE),"NO PROFILE")</f>
        <v>Rich &amp; Richer</v>
      </c>
      <c r="H326">
        <v>1458.34</v>
      </c>
      <c r="I326">
        <v>565</v>
      </c>
    </row>
    <row r="327" spans="1:9" x14ac:dyDescent="0.25">
      <c r="A327" t="s">
        <v>9</v>
      </c>
      <c r="B327" t="str">
        <f>VLOOKUP(Simulated_Dept_Data[[#This Row],[DepartmentID]],Table578[],2,FALSE)</f>
        <v>Boot Accessories</v>
      </c>
      <c r="C327">
        <v>2023</v>
      </c>
      <c r="D327">
        <v>2</v>
      </c>
      <c r="E327" t="str">
        <f>VLOOKUP(Simulated_Dept_Data[[#This Row],[SegmentID]],Table5[],2,FALSE)</f>
        <v>Core Customers</v>
      </c>
      <c r="F327">
        <v>3</v>
      </c>
      <c r="G327" t="str">
        <f>IFERROR(VLOOKUP(Simulated_Dept_Data[[#This Row],[ProfileID]],Table57[],2,FALSE),"NO PROFILE")</f>
        <v>Mr. &amp; Mrs. Smiths</v>
      </c>
      <c r="H327">
        <v>3191.8</v>
      </c>
      <c r="I327">
        <v>836</v>
      </c>
    </row>
    <row r="328" spans="1:9" x14ac:dyDescent="0.25">
      <c r="A328" t="s">
        <v>9</v>
      </c>
      <c r="B328" t="str">
        <f>VLOOKUP(Simulated_Dept_Data[[#This Row],[DepartmentID]],Table578[],2,FALSE)</f>
        <v>Boot Accessories</v>
      </c>
      <c r="C328">
        <v>2023</v>
      </c>
      <c r="D328">
        <v>2</v>
      </c>
      <c r="E328" t="str">
        <f>VLOOKUP(Simulated_Dept_Data[[#This Row],[SegmentID]],Table5[],2,FALSE)</f>
        <v>Core Customers</v>
      </c>
      <c r="F328">
        <v>4</v>
      </c>
      <c r="G328" t="str">
        <f>IFERROR(VLOOKUP(Simulated_Dept_Data[[#This Row],[ProfileID]],Table57[],2,FALSE),"NO PROFILE")</f>
        <v>Blue Collar Royalty</v>
      </c>
      <c r="H328">
        <v>2.25</v>
      </c>
      <c r="I328">
        <v>22</v>
      </c>
    </row>
    <row r="329" spans="1:9" x14ac:dyDescent="0.25">
      <c r="A329" t="s">
        <v>9</v>
      </c>
      <c r="B329" t="str">
        <f>VLOOKUP(Simulated_Dept_Data[[#This Row],[DepartmentID]],Table578[],2,FALSE)</f>
        <v>Boot Accessories</v>
      </c>
      <c r="C329">
        <v>2023</v>
      </c>
      <c r="D329">
        <v>2</v>
      </c>
      <c r="E329" t="str">
        <f>VLOOKUP(Simulated_Dept_Data[[#This Row],[SegmentID]],Table5[],2,FALSE)</f>
        <v>Core Customers</v>
      </c>
      <c r="F329">
        <v>5</v>
      </c>
      <c r="G329" t="str">
        <f>IFERROR(VLOOKUP(Simulated_Dept_Data[[#This Row],[ProfileID]],Table57[],2,FALSE),"NO PROFILE")</f>
        <v>Pinched Pockets</v>
      </c>
      <c r="H329">
        <v>663.02</v>
      </c>
      <c r="I329">
        <v>381</v>
      </c>
    </row>
    <row r="330" spans="1:9" x14ac:dyDescent="0.25">
      <c r="A330" t="s">
        <v>9</v>
      </c>
      <c r="B330" t="str">
        <f>VLOOKUP(Simulated_Dept_Data[[#This Row],[DepartmentID]],Table578[],2,FALSE)</f>
        <v>Boot Accessories</v>
      </c>
      <c r="C330">
        <v>2023</v>
      </c>
      <c r="D330">
        <v>2</v>
      </c>
      <c r="E330" t="str">
        <f>VLOOKUP(Simulated_Dept_Data[[#This Row],[SegmentID]],Table5[],2,FALSE)</f>
        <v>Core Customers</v>
      </c>
      <c r="F330">
        <v>6</v>
      </c>
      <c r="G330" t="str">
        <f>IFERROR(VLOOKUP(Simulated_Dept_Data[[#This Row],[ProfileID]],Table57[],2,FALSE),"NO PROFILE")</f>
        <v>Normal Families</v>
      </c>
      <c r="H330">
        <v>399.06</v>
      </c>
      <c r="I330">
        <v>296</v>
      </c>
    </row>
    <row r="331" spans="1:9" x14ac:dyDescent="0.25">
      <c r="A331" t="s">
        <v>9</v>
      </c>
      <c r="B331" t="str">
        <f>VLOOKUP(Simulated_Dept_Data[[#This Row],[DepartmentID]],Table578[],2,FALSE)</f>
        <v>Boot Accessories</v>
      </c>
      <c r="C331">
        <v>2023</v>
      </c>
      <c r="D331">
        <v>3</v>
      </c>
      <c r="E331" t="str">
        <f>VLOOKUP(Simulated_Dept_Data[[#This Row],[SegmentID]],Table5[],2,FALSE)</f>
        <v>Power Shoppers</v>
      </c>
      <c r="G331" t="str">
        <f>IFERROR(VLOOKUP(Simulated_Dept_Data[[#This Row],[ProfileID]],Table57[],2,FALSE),"NO PROFILE")</f>
        <v>NO PROFILE</v>
      </c>
      <c r="H331">
        <v>749.47</v>
      </c>
      <c r="I331">
        <v>405</v>
      </c>
    </row>
    <row r="332" spans="1:9" x14ac:dyDescent="0.25">
      <c r="A332" t="s">
        <v>9</v>
      </c>
      <c r="B332" t="str">
        <f>VLOOKUP(Simulated_Dept_Data[[#This Row],[DepartmentID]],Table578[],2,FALSE)</f>
        <v>Boot Accessories</v>
      </c>
      <c r="C332">
        <v>2023</v>
      </c>
      <c r="D332">
        <v>3</v>
      </c>
      <c r="E332" t="str">
        <f>VLOOKUP(Simulated_Dept_Data[[#This Row],[SegmentID]],Table5[],2,FALSE)</f>
        <v>Power Shoppers</v>
      </c>
      <c r="F332">
        <v>1</v>
      </c>
      <c r="G332" t="str">
        <f>IFERROR(VLOOKUP(Simulated_Dept_Data[[#This Row],[ProfileID]],Table57[],2,FALSE),"NO PROFILE")</f>
        <v>City Slickers</v>
      </c>
      <c r="H332">
        <v>3589.12</v>
      </c>
      <c r="I332">
        <v>886</v>
      </c>
    </row>
    <row r="333" spans="1:9" x14ac:dyDescent="0.25">
      <c r="A333" t="s">
        <v>9</v>
      </c>
      <c r="B333" t="str">
        <f>VLOOKUP(Simulated_Dept_Data[[#This Row],[DepartmentID]],Table578[],2,FALSE)</f>
        <v>Boot Accessories</v>
      </c>
      <c r="C333">
        <v>2023</v>
      </c>
      <c r="D333">
        <v>3</v>
      </c>
      <c r="E333" t="str">
        <f>VLOOKUP(Simulated_Dept_Data[[#This Row],[SegmentID]],Table5[],2,FALSE)</f>
        <v>Power Shoppers</v>
      </c>
      <c r="F333">
        <v>2</v>
      </c>
      <c r="G333" t="str">
        <f>IFERROR(VLOOKUP(Simulated_Dept_Data[[#This Row],[ProfileID]],Table57[],2,FALSE),"NO PROFILE")</f>
        <v>Rich &amp; Richer</v>
      </c>
      <c r="H333">
        <v>490.36</v>
      </c>
      <c r="I333">
        <v>328</v>
      </c>
    </row>
    <row r="334" spans="1:9" x14ac:dyDescent="0.25">
      <c r="A334" t="s">
        <v>9</v>
      </c>
      <c r="B334" t="str">
        <f>VLOOKUP(Simulated_Dept_Data[[#This Row],[DepartmentID]],Table578[],2,FALSE)</f>
        <v>Boot Accessories</v>
      </c>
      <c r="C334">
        <v>2023</v>
      </c>
      <c r="D334">
        <v>3</v>
      </c>
      <c r="E334" t="str">
        <f>VLOOKUP(Simulated_Dept_Data[[#This Row],[SegmentID]],Table5[],2,FALSE)</f>
        <v>Power Shoppers</v>
      </c>
      <c r="F334">
        <v>3</v>
      </c>
      <c r="G334" t="str">
        <f>IFERROR(VLOOKUP(Simulated_Dept_Data[[#This Row],[ProfileID]],Table57[],2,FALSE),"NO PROFILE")</f>
        <v>Mr. &amp; Mrs. Smiths</v>
      </c>
      <c r="H334">
        <v>70.290000000000006</v>
      </c>
      <c r="I334">
        <v>124</v>
      </c>
    </row>
    <row r="335" spans="1:9" x14ac:dyDescent="0.25">
      <c r="A335" t="s">
        <v>9</v>
      </c>
      <c r="B335" t="str">
        <f>VLOOKUP(Simulated_Dept_Data[[#This Row],[DepartmentID]],Table578[],2,FALSE)</f>
        <v>Boot Accessories</v>
      </c>
      <c r="C335">
        <v>2023</v>
      </c>
      <c r="D335">
        <v>3</v>
      </c>
      <c r="E335" t="str">
        <f>VLOOKUP(Simulated_Dept_Data[[#This Row],[SegmentID]],Table5[],2,FALSE)</f>
        <v>Power Shoppers</v>
      </c>
      <c r="F335">
        <v>4</v>
      </c>
      <c r="G335" t="str">
        <f>IFERROR(VLOOKUP(Simulated_Dept_Data[[#This Row],[ProfileID]],Table57[],2,FALSE),"NO PROFILE")</f>
        <v>Blue Collar Royalty</v>
      </c>
      <c r="H335">
        <v>2110.9899999999998</v>
      </c>
      <c r="I335">
        <v>680</v>
      </c>
    </row>
    <row r="336" spans="1:9" x14ac:dyDescent="0.25">
      <c r="A336" t="s">
        <v>9</v>
      </c>
      <c r="B336" t="str">
        <f>VLOOKUP(Simulated_Dept_Data[[#This Row],[DepartmentID]],Table578[],2,FALSE)</f>
        <v>Boot Accessories</v>
      </c>
      <c r="C336">
        <v>2023</v>
      </c>
      <c r="D336">
        <v>3</v>
      </c>
      <c r="E336" t="str">
        <f>VLOOKUP(Simulated_Dept_Data[[#This Row],[SegmentID]],Table5[],2,FALSE)</f>
        <v>Power Shoppers</v>
      </c>
      <c r="F336">
        <v>5</v>
      </c>
      <c r="G336" t="str">
        <f>IFERROR(VLOOKUP(Simulated_Dept_Data[[#This Row],[ProfileID]],Table57[],2,FALSE),"NO PROFILE")</f>
        <v>Pinched Pockets</v>
      </c>
      <c r="H336">
        <v>761.62</v>
      </c>
      <c r="I336">
        <v>408</v>
      </c>
    </row>
    <row r="337" spans="1:9" x14ac:dyDescent="0.25">
      <c r="A337" t="s">
        <v>9</v>
      </c>
      <c r="B337" t="str">
        <f>VLOOKUP(Simulated_Dept_Data[[#This Row],[DepartmentID]],Table578[],2,FALSE)</f>
        <v>Boot Accessories</v>
      </c>
      <c r="C337">
        <v>2023</v>
      </c>
      <c r="D337">
        <v>3</v>
      </c>
      <c r="E337" t="str">
        <f>VLOOKUP(Simulated_Dept_Data[[#This Row],[SegmentID]],Table5[],2,FALSE)</f>
        <v>Power Shoppers</v>
      </c>
      <c r="F337">
        <v>6</v>
      </c>
      <c r="G337" t="str">
        <f>IFERROR(VLOOKUP(Simulated_Dept_Data[[#This Row],[ProfileID]],Table57[],2,FALSE),"NO PROFILE")</f>
        <v>Normal Families</v>
      </c>
      <c r="H337">
        <v>22.07</v>
      </c>
      <c r="I337">
        <v>69</v>
      </c>
    </row>
    <row r="338" spans="1:9" x14ac:dyDescent="0.25">
      <c r="A338" t="s">
        <v>9</v>
      </c>
      <c r="B338" t="str">
        <f>VLOOKUP(Simulated_Dept_Data[[#This Row],[DepartmentID]],Table578[],2,FALSE)</f>
        <v>Boot Accessories</v>
      </c>
      <c r="C338">
        <v>2023</v>
      </c>
      <c r="D338">
        <v>4</v>
      </c>
      <c r="E338" t="str">
        <f>VLOOKUP(Simulated_Dept_Data[[#This Row],[SegmentID]],Table5[],2,FALSE)</f>
        <v>Infrequent Customers</v>
      </c>
      <c r="G338" t="str">
        <f>IFERROR(VLOOKUP(Simulated_Dept_Data[[#This Row],[ProfileID]],Table57[],2,FALSE),"NO PROFILE")</f>
        <v>NO PROFILE</v>
      </c>
      <c r="H338">
        <v>1159.3499999999999</v>
      </c>
      <c r="I338">
        <v>483</v>
      </c>
    </row>
    <row r="339" spans="1:9" x14ac:dyDescent="0.25">
      <c r="A339" t="s">
        <v>9</v>
      </c>
      <c r="B339" t="str">
        <f>VLOOKUP(Simulated_Dept_Data[[#This Row],[DepartmentID]],Table578[],2,FALSE)</f>
        <v>Boot Accessories</v>
      </c>
      <c r="C339">
        <v>2023</v>
      </c>
      <c r="D339">
        <v>4</v>
      </c>
      <c r="E339" t="str">
        <f>VLOOKUP(Simulated_Dept_Data[[#This Row],[SegmentID]],Table5[],2,FALSE)</f>
        <v>Infrequent Customers</v>
      </c>
      <c r="F339">
        <v>1</v>
      </c>
      <c r="G339" t="str">
        <f>IFERROR(VLOOKUP(Simulated_Dept_Data[[#This Row],[ProfileID]],Table57[],2,FALSE),"NO PROFILE")</f>
        <v>City Slickers</v>
      </c>
      <c r="H339">
        <v>4663.3500000000004</v>
      </c>
      <c r="I339">
        <v>969</v>
      </c>
    </row>
    <row r="340" spans="1:9" x14ac:dyDescent="0.25">
      <c r="A340" t="s">
        <v>9</v>
      </c>
      <c r="B340" t="str">
        <f>VLOOKUP(Simulated_Dept_Data[[#This Row],[DepartmentID]],Table578[],2,FALSE)</f>
        <v>Boot Accessories</v>
      </c>
      <c r="C340">
        <v>2023</v>
      </c>
      <c r="D340">
        <v>4</v>
      </c>
      <c r="E340" t="str">
        <f>VLOOKUP(Simulated_Dept_Data[[#This Row],[SegmentID]],Table5[],2,FALSE)</f>
        <v>Infrequent Customers</v>
      </c>
      <c r="F340">
        <v>2</v>
      </c>
      <c r="G340" t="str">
        <f>IFERROR(VLOOKUP(Simulated_Dept_Data[[#This Row],[ProfileID]],Table57[],2,FALSE),"NO PROFILE")</f>
        <v>Rich &amp; Richer</v>
      </c>
      <c r="H340">
        <v>108.78</v>
      </c>
      <c r="I340">
        <v>148</v>
      </c>
    </row>
    <row r="341" spans="1:9" x14ac:dyDescent="0.25">
      <c r="A341" t="s">
        <v>9</v>
      </c>
      <c r="B341" t="str">
        <f>VLOOKUP(Simulated_Dept_Data[[#This Row],[DepartmentID]],Table578[],2,FALSE)</f>
        <v>Boot Accessories</v>
      </c>
      <c r="C341">
        <v>2023</v>
      </c>
      <c r="D341">
        <v>4</v>
      </c>
      <c r="E341" t="str">
        <f>VLOOKUP(Simulated_Dept_Data[[#This Row],[SegmentID]],Table5[],2,FALSE)</f>
        <v>Infrequent Customers</v>
      </c>
      <c r="F341">
        <v>3</v>
      </c>
      <c r="G341" t="str">
        <f>IFERROR(VLOOKUP(Simulated_Dept_Data[[#This Row],[ProfileID]],Table57[],2,FALSE),"NO PROFILE")</f>
        <v>Mr. &amp; Mrs. Smiths</v>
      </c>
      <c r="H341">
        <v>919.77</v>
      </c>
      <c r="I341">
        <v>430</v>
      </c>
    </row>
    <row r="342" spans="1:9" x14ac:dyDescent="0.25">
      <c r="A342" t="s">
        <v>9</v>
      </c>
      <c r="B342" t="str">
        <f>VLOOKUP(Simulated_Dept_Data[[#This Row],[DepartmentID]],Table578[],2,FALSE)</f>
        <v>Boot Accessories</v>
      </c>
      <c r="C342">
        <v>2023</v>
      </c>
      <c r="D342">
        <v>4</v>
      </c>
      <c r="E342" t="str">
        <f>VLOOKUP(Simulated_Dept_Data[[#This Row],[SegmentID]],Table5[],2,FALSE)</f>
        <v>Infrequent Customers</v>
      </c>
      <c r="F342">
        <v>4</v>
      </c>
      <c r="G342" t="str">
        <f>IFERROR(VLOOKUP(Simulated_Dept_Data[[#This Row],[ProfileID]],Table57[],2,FALSE),"NO PROFILE")</f>
        <v>Blue Collar Royalty</v>
      </c>
      <c r="H342">
        <v>4348.34</v>
      </c>
      <c r="I342">
        <v>936</v>
      </c>
    </row>
    <row r="343" spans="1:9" x14ac:dyDescent="0.25">
      <c r="A343" t="s">
        <v>9</v>
      </c>
      <c r="B343" t="str">
        <f>VLOOKUP(Simulated_Dept_Data[[#This Row],[DepartmentID]],Table578[],2,FALSE)</f>
        <v>Boot Accessories</v>
      </c>
      <c r="C343">
        <v>2023</v>
      </c>
      <c r="D343">
        <v>4</v>
      </c>
      <c r="E343" t="str">
        <f>VLOOKUP(Simulated_Dept_Data[[#This Row],[SegmentID]],Table5[],2,FALSE)</f>
        <v>Infrequent Customers</v>
      </c>
      <c r="F343">
        <v>5</v>
      </c>
      <c r="G343" t="str">
        <f>IFERROR(VLOOKUP(Simulated_Dept_Data[[#This Row],[ProfileID]],Table57[],2,FALSE),"NO PROFILE")</f>
        <v>Pinched Pockets</v>
      </c>
      <c r="H343">
        <v>9.26</v>
      </c>
      <c r="I343">
        <v>43</v>
      </c>
    </row>
    <row r="344" spans="1:9" x14ac:dyDescent="0.25">
      <c r="A344" t="s">
        <v>9</v>
      </c>
      <c r="B344" t="str">
        <f>VLOOKUP(Simulated_Dept_Data[[#This Row],[DepartmentID]],Table578[],2,FALSE)</f>
        <v>Boot Accessories</v>
      </c>
      <c r="C344">
        <v>2023</v>
      </c>
      <c r="D344">
        <v>4</v>
      </c>
      <c r="E344" t="str">
        <f>VLOOKUP(Simulated_Dept_Data[[#This Row],[SegmentID]],Table5[],2,FALSE)</f>
        <v>Infrequent Customers</v>
      </c>
      <c r="F344">
        <v>6</v>
      </c>
      <c r="G344" t="str">
        <f>IFERROR(VLOOKUP(Simulated_Dept_Data[[#This Row],[ProfileID]],Table57[],2,FALSE),"NO PROFILE")</f>
        <v>Normal Families</v>
      </c>
      <c r="H344">
        <v>467.52</v>
      </c>
      <c r="I344">
        <v>307</v>
      </c>
    </row>
    <row r="345" spans="1:9" x14ac:dyDescent="0.25">
      <c r="A345" t="s">
        <v>9</v>
      </c>
      <c r="B345" t="str">
        <f>VLOOKUP(Simulated_Dept_Data[[#This Row],[DepartmentID]],Table578[],2,FALSE)</f>
        <v>Boot Accessories</v>
      </c>
      <c r="C345">
        <v>2023</v>
      </c>
      <c r="D345">
        <v>5</v>
      </c>
      <c r="E345" t="str">
        <f>VLOOKUP(Simulated_Dept_Data[[#This Row],[SegmentID]],Table5[],2,FALSE)</f>
        <v>New Customers</v>
      </c>
      <c r="G345" t="str">
        <f>IFERROR(VLOOKUP(Simulated_Dept_Data[[#This Row],[ProfileID]],Table57[],2,FALSE),"NO PROFILE")</f>
        <v>NO PROFILE</v>
      </c>
      <c r="H345">
        <v>8627.36</v>
      </c>
      <c r="I345">
        <v>1316</v>
      </c>
    </row>
    <row r="346" spans="1:9" x14ac:dyDescent="0.25">
      <c r="A346" t="s">
        <v>9</v>
      </c>
      <c r="B346" t="str">
        <f>VLOOKUP(Simulated_Dept_Data[[#This Row],[DepartmentID]],Table578[],2,FALSE)</f>
        <v>Boot Accessories</v>
      </c>
      <c r="C346">
        <v>2023</v>
      </c>
      <c r="D346">
        <v>5</v>
      </c>
      <c r="E346" t="str">
        <f>VLOOKUP(Simulated_Dept_Data[[#This Row],[SegmentID]],Table5[],2,FALSE)</f>
        <v>New Customers</v>
      </c>
      <c r="F346">
        <v>1</v>
      </c>
      <c r="G346" t="str">
        <f>IFERROR(VLOOKUP(Simulated_Dept_Data[[#This Row],[ProfileID]],Table57[],2,FALSE),"NO PROFILE")</f>
        <v>City Slickers</v>
      </c>
      <c r="H346">
        <v>2909.3</v>
      </c>
      <c r="I346">
        <v>764</v>
      </c>
    </row>
    <row r="347" spans="1:9" x14ac:dyDescent="0.25">
      <c r="A347" t="s">
        <v>9</v>
      </c>
      <c r="B347" t="str">
        <f>VLOOKUP(Simulated_Dept_Data[[#This Row],[DepartmentID]],Table578[],2,FALSE)</f>
        <v>Boot Accessories</v>
      </c>
      <c r="C347">
        <v>2023</v>
      </c>
      <c r="D347">
        <v>5</v>
      </c>
      <c r="E347" t="str">
        <f>VLOOKUP(Simulated_Dept_Data[[#This Row],[SegmentID]],Table5[],2,FALSE)</f>
        <v>New Customers</v>
      </c>
      <c r="F347">
        <v>2</v>
      </c>
      <c r="G347" t="str">
        <f>IFERROR(VLOOKUP(Simulated_Dept_Data[[#This Row],[ProfileID]],Table57[],2,FALSE),"NO PROFILE")</f>
        <v>Rich &amp; Richer</v>
      </c>
      <c r="H347">
        <v>6252.9</v>
      </c>
      <c r="I347">
        <v>1121</v>
      </c>
    </row>
    <row r="348" spans="1:9" x14ac:dyDescent="0.25">
      <c r="A348" t="s">
        <v>9</v>
      </c>
      <c r="B348" t="str">
        <f>VLOOKUP(Simulated_Dept_Data[[#This Row],[DepartmentID]],Table578[],2,FALSE)</f>
        <v>Boot Accessories</v>
      </c>
      <c r="C348">
        <v>2023</v>
      </c>
      <c r="D348">
        <v>5</v>
      </c>
      <c r="E348" t="str">
        <f>VLOOKUP(Simulated_Dept_Data[[#This Row],[SegmentID]],Table5[],2,FALSE)</f>
        <v>New Customers</v>
      </c>
      <c r="F348">
        <v>3</v>
      </c>
      <c r="G348" t="str">
        <f>IFERROR(VLOOKUP(Simulated_Dept_Data[[#This Row],[ProfileID]],Table57[],2,FALSE),"NO PROFILE")</f>
        <v>Mr. &amp; Mrs. Smiths</v>
      </c>
      <c r="H348">
        <v>9565.36</v>
      </c>
      <c r="I348">
        <v>1386</v>
      </c>
    </row>
    <row r="349" spans="1:9" x14ac:dyDescent="0.25">
      <c r="A349" t="s">
        <v>9</v>
      </c>
      <c r="B349" t="str">
        <f>VLOOKUP(Simulated_Dept_Data[[#This Row],[DepartmentID]],Table578[],2,FALSE)</f>
        <v>Boot Accessories</v>
      </c>
      <c r="C349">
        <v>2023</v>
      </c>
      <c r="D349">
        <v>5</v>
      </c>
      <c r="E349" t="str">
        <f>VLOOKUP(Simulated_Dept_Data[[#This Row],[SegmentID]],Table5[],2,FALSE)</f>
        <v>New Customers</v>
      </c>
      <c r="F349">
        <v>4</v>
      </c>
      <c r="G349" t="str">
        <f>IFERROR(VLOOKUP(Simulated_Dept_Data[[#This Row],[ProfileID]],Table57[],2,FALSE),"NO PROFILE")</f>
        <v>Blue Collar Royalty</v>
      </c>
      <c r="H349">
        <v>11.92</v>
      </c>
      <c r="I349">
        <v>49</v>
      </c>
    </row>
    <row r="350" spans="1:9" x14ac:dyDescent="0.25">
      <c r="A350" t="s">
        <v>9</v>
      </c>
      <c r="B350" t="str">
        <f>VLOOKUP(Simulated_Dept_Data[[#This Row],[DepartmentID]],Table578[],2,FALSE)</f>
        <v>Boot Accessories</v>
      </c>
      <c r="C350">
        <v>2023</v>
      </c>
      <c r="D350">
        <v>5</v>
      </c>
      <c r="E350" t="str">
        <f>VLOOKUP(Simulated_Dept_Data[[#This Row],[SegmentID]],Table5[],2,FALSE)</f>
        <v>New Customers</v>
      </c>
      <c r="F350">
        <v>5</v>
      </c>
      <c r="G350" t="str">
        <f>IFERROR(VLOOKUP(Simulated_Dept_Data[[#This Row],[ProfileID]],Table57[],2,FALSE),"NO PROFILE")</f>
        <v>Pinched Pockets</v>
      </c>
      <c r="H350">
        <v>14.54</v>
      </c>
      <c r="I350">
        <v>54</v>
      </c>
    </row>
    <row r="351" spans="1:9" x14ac:dyDescent="0.25">
      <c r="A351" t="s">
        <v>9</v>
      </c>
      <c r="B351" t="str">
        <f>VLOOKUP(Simulated_Dept_Data[[#This Row],[DepartmentID]],Table578[],2,FALSE)</f>
        <v>Boot Accessories</v>
      </c>
      <c r="C351">
        <v>2023</v>
      </c>
      <c r="D351">
        <v>5</v>
      </c>
      <c r="E351" t="str">
        <f>VLOOKUP(Simulated_Dept_Data[[#This Row],[SegmentID]],Table5[],2,FALSE)</f>
        <v>New Customers</v>
      </c>
      <c r="F351">
        <v>6</v>
      </c>
      <c r="G351" t="str">
        <f>IFERROR(VLOOKUP(Simulated_Dept_Data[[#This Row],[ProfileID]],Table57[],2,FALSE),"NO PROFILE")</f>
        <v>Normal Families</v>
      </c>
      <c r="H351">
        <v>72.63</v>
      </c>
      <c r="I351">
        <v>121</v>
      </c>
    </row>
    <row r="352" spans="1:9" x14ac:dyDescent="0.25">
      <c r="A352" t="s">
        <v>10</v>
      </c>
      <c r="B352" t="str">
        <f>VLOOKUP(Simulated_Dept_Data[[#This Row],[DepartmentID]],Table578[],2,FALSE)</f>
        <v>Formalwear</v>
      </c>
      <c r="C352">
        <v>2022</v>
      </c>
      <c r="D352">
        <v>1</v>
      </c>
      <c r="E352" t="str">
        <f>VLOOKUP(Simulated_Dept_Data[[#This Row],[SegmentID]],Table5[],2,FALSE)</f>
        <v>Elite Customers</v>
      </c>
      <c r="G352" t="str">
        <f>IFERROR(VLOOKUP(Simulated_Dept_Data[[#This Row],[ProfileID]],Table57[],2,FALSE),"NO PROFILE")</f>
        <v>NO PROFILE</v>
      </c>
      <c r="H352">
        <v>1784.37</v>
      </c>
      <c r="I352">
        <v>1956</v>
      </c>
    </row>
    <row r="353" spans="1:9" x14ac:dyDescent="0.25">
      <c r="A353" t="s">
        <v>10</v>
      </c>
      <c r="B353" t="str">
        <f>VLOOKUP(Simulated_Dept_Data[[#This Row],[DepartmentID]],Table578[],2,FALSE)</f>
        <v>Formalwear</v>
      </c>
      <c r="C353">
        <v>2022</v>
      </c>
      <c r="D353">
        <v>1</v>
      </c>
      <c r="E353" t="str">
        <f>VLOOKUP(Simulated_Dept_Data[[#This Row],[SegmentID]],Table5[],2,FALSE)</f>
        <v>Elite Customers</v>
      </c>
      <c r="F353">
        <v>1</v>
      </c>
      <c r="G353" t="str">
        <f>IFERROR(VLOOKUP(Simulated_Dept_Data[[#This Row],[ProfileID]],Table57[],2,FALSE),"NO PROFILE")</f>
        <v>City Slickers</v>
      </c>
      <c r="H353">
        <v>5623.03</v>
      </c>
      <c r="I353">
        <v>3472</v>
      </c>
    </row>
    <row r="354" spans="1:9" x14ac:dyDescent="0.25">
      <c r="A354" t="s">
        <v>10</v>
      </c>
      <c r="B354" t="str">
        <f>VLOOKUP(Simulated_Dept_Data[[#This Row],[DepartmentID]],Table578[],2,FALSE)</f>
        <v>Formalwear</v>
      </c>
      <c r="C354">
        <v>2022</v>
      </c>
      <c r="D354">
        <v>1</v>
      </c>
      <c r="E354" t="str">
        <f>VLOOKUP(Simulated_Dept_Data[[#This Row],[SegmentID]],Table5[],2,FALSE)</f>
        <v>Elite Customers</v>
      </c>
      <c r="F354">
        <v>2</v>
      </c>
      <c r="G354" t="str">
        <f>IFERROR(VLOOKUP(Simulated_Dept_Data[[#This Row],[ProfileID]],Table57[],2,FALSE),"NO PROFILE")</f>
        <v>Rich &amp; Richer</v>
      </c>
      <c r="H354">
        <v>6394.94</v>
      </c>
      <c r="I354">
        <v>3702</v>
      </c>
    </row>
    <row r="355" spans="1:9" x14ac:dyDescent="0.25">
      <c r="A355" t="s">
        <v>10</v>
      </c>
      <c r="B355" t="str">
        <f>VLOOKUP(Simulated_Dept_Data[[#This Row],[DepartmentID]],Table578[],2,FALSE)</f>
        <v>Formalwear</v>
      </c>
      <c r="C355">
        <v>2022</v>
      </c>
      <c r="D355">
        <v>1</v>
      </c>
      <c r="E355" t="str">
        <f>VLOOKUP(Simulated_Dept_Data[[#This Row],[SegmentID]],Table5[],2,FALSE)</f>
        <v>Elite Customers</v>
      </c>
      <c r="F355">
        <v>3</v>
      </c>
      <c r="G355" t="str">
        <f>IFERROR(VLOOKUP(Simulated_Dept_Data[[#This Row],[ProfileID]],Table57[],2,FALSE),"NO PROFILE")</f>
        <v>Mr. &amp; Mrs. Smiths</v>
      </c>
      <c r="H355">
        <v>6540.98</v>
      </c>
      <c r="I355">
        <v>3744</v>
      </c>
    </row>
    <row r="356" spans="1:9" x14ac:dyDescent="0.25">
      <c r="A356" t="s">
        <v>10</v>
      </c>
      <c r="B356" t="str">
        <f>VLOOKUP(Simulated_Dept_Data[[#This Row],[DepartmentID]],Table578[],2,FALSE)</f>
        <v>Formalwear</v>
      </c>
      <c r="C356">
        <v>2022</v>
      </c>
      <c r="D356">
        <v>1</v>
      </c>
      <c r="E356" t="str">
        <f>VLOOKUP(Simulated_Dept_Data[[#This Row],[SegmentID]],Table5[],2,FALSE)</f>
        <v>Elite Customers</v>
      </c>
      <c r="F356">
        <v>4</v>
      </c>
      <c r="G356" t="str">
        <f>IFERROR(VLOOKUP(Simulated_Dept_Data[[#This Row],[ProfileID]],Table57[],2,FALSE),"NO PROFILE")</f>
        <v>Blue Collar Royalty</v>
      </c>
      <c r="H356">
        <v>1789.77</v>
      </c>
      <c r="I356">
        <v>1959</v>
      </c>
    </row>
    <row r="357" spans="1:9" x14ac:dyDescent="0.25">
      <c r="A357" t="s">
        <v>10</v>
      </c>
      <c r="B357" t="str">
        <f>VLOOKUP(Simulated_Dept_Data[[#This Row],[DepartmentID]],Table578[],2,FALSE)</f>
        <v>Formalwear</v>
      </c>
      <c r="C357">
        <v>2022</v>
      </c>
      <c r="D357">
        <v>1</v>
      </c>
      <c r="E357" t="str">
        <f>VLOOKUP(Simulated_Dept_Data[[#This Row],[SegmentID]],Table5[],2,FALSE)</f>
        <v>Elite Customers</v>
      </c>
      <c r="F357">
        <v>5</v>
      </c>
      <c r="G357" t="str">
        <f>IFERROR(VLOOKUP(Simulated_Dept_Data[[#This Row],[ProfileID]],Table57[],2,FALSE),"NO PROFILE")</f>
        <v>Pinched Pockets</v>
      </c>
      <c r="H357">
        <v>8666.75</v>
      </c>
      <c r="I357">
        <v>4310</v>
      </c>
    </row>
    <row r="358" spans="1:9" x14ac:dyDescent="0.25">
      <c r="A358" t="s">
        <v>10</v>
      </c>
      <c r="B358" t="str">
        <f>VLOOKUP(Simulated_Dept_Data[[#This Row],[DepartmentID]],Table578[],2,FALSE)</f>
        <v>Formalwear</v>
      </c>
      <c r="C358">
        <v>2022</v>
      </c>
      <c r="D358">
        <v>1</v>
      </c>
      <c r="E358" t="str">
        <f>VLOOKUP(Simulated_Dept_Data[[#This Row],[SegmentID]],Table5[],2,FALSE)</f>
        <v>Elite Customers</v>
      </c>
      <c r="F358">
        <v>6</v>
      </c>
      <c r="G358" t="str">
        <f>IFERROR(VLOOKUP(Simulated_Dept_Data[[#This Row],[ProfileID]],Table57[],2,FALSE),"NO PROFILE")</f>
        <v>Normal Families</v>
      </c>
      <c r="H358">
        <v>1361.65</v>
      </c>
      <c r="I358">
        <v>1708</v>
      </c>
    </row>
    <row r="359" spans="1:9" x14ac:dyDescent="0.25">
      <c r="A359" t="s">
        <v>10</v>
      </c>
      <c r="B359" t="str">
        <f>VLOOKUP(Simulated_Dept_Data[[#This Row],[DepartmentID]],Table578[],2,FALSE)</f>
        <v>Formalwear</v>
      </c>
      <c r="C359">
        <v>2022</v>
      </c>
      <c r="D359">
        <v>2</v>
      </c>
      <c r="E359" t="str">
        <f>VLOOKUP(Simulated_Dept_Data[[#This Row],[SegmentID]],Table5[],2,FALSE)</f>
        <v>Core Customers</v>
      </c>
      <c r="G359" t="str">
        <f>IFERROR(VLOOKUP(Simulated_Dept_Data[[#This Row],[ProfileID]],Table57[],2,FALSE),"NO PROFILE")</f>
        <v>NO PROFILE</v>
      </c>
      <c r="H359">
        <v>14771.7</v>
      </c>
      <c r="I359">
        <v>5457</v>
      </c>
    </row>
    <row r="360" spans="1:9" x14ac:dyDescent="0.25">
      <c r="A360" t="s">
        <v>10</v>
      </c>
      <c r="B360" t="str">
        <f>VLOOKUP(Simulated_Dept_Data[[#This Row],[DepartmentID]],Table578[],2,FALSE)</f>
        <v>Formalwear</v>
      </c>
      <c r="C360">
        <v>2022</v>
      </c>
      <c r="D360">
        <v>2</v>
      </c>
      <c r="E360" t="str">
        <f>VLOOKUP(Simulated_Dept_Data[[#This Row],[SegmentID]],Table5[],2,FALSE)</f>
        <v>Core Customers</v>
      </c>
      <c r="F360">
        <v>1</v>
      </c>
      <c r="G360" t="str">
        <f>IFERROR(VLOOKUP(Simulated_Dept_Data[[#This Row],[ProfileID]],Table57[],2,FALSE),"NO PROFILE")</f>
        <v>City Slickers</v>
      </c>
      <c r="H360">
        <v>3533.95</v>
      </c>
      <c r="I360">
        <v>2669</v>
      </c>
    </row>
    <row r="361" spans="1:9" x14ac:dyDescent="0.25">
      <c r="A361" t="s">
        <v>10</v>
      </c>
      <c r="B361" t="str">
        <f>VLOOKUP(Simulated_Dept_Data[[#This Row],[DepartmentID]],Table578[],2,FALSE)</f>
        <v>Formalwear</v>
      </c>
      <c r="C361">
        <v>2022</v>
      </c>
      <c r="D361">
        <v>2</v>
      </c>
      <c r="E361" t="str">
        <f>VLOOKUP(Simulated_Dept_Data[[#This Row],[SegmentID]],Table5[],2,FALSE)</f>
        <v>Core Customers</v>
      </c>
      <c r="F361">
        <v>2</v>
      </c>
      <c r="G361" t="str">
        <f>IFERROR(VLOOKUP(Simulated_Dept_Data[[#This Row],[ProfileID]],Table57[],2,FALSE),"NO PROFILE")</f>
        <v>Rich &amp; Richer</v>
      </c>
      <c r="H361">
        <v>5650.01</v>
      </c>
      <c r="I361">
        <v>3375</v>
      </c>
    </row>
    <row r="362" spans="1:9" x14ac:dyDescent="0.25">
      <c r="A362" t="s">
        <v>10</v>
      </c>
      <c r="B362" t="str">
        <f>VLOOKUP(Simulated_Dept_Data[[#This Row],[DepartmentID]],Table578[],2,FALSE)</f>
        <v>Formalwear</v>
      </c>
      <c r="C362">
        <v>2022</v>
      </c>
      <c r="D362">
        <v>2</v>
      </c>
      <c r="E362" t="str">
        <f>VLOOKUP(Simulated_Dept_Data[[#This Row],[SegmentID]],Table5[],2,FALSE)</f>
        <v>Core Customers</v>
      </c>
      <c r="F362">
        <v>3</v>
      </c>
      <c r="G362" t="str">
        <f>IFERROR(VLOOKUP(Simulated_Dept_Data[[#This Row],[ProfileID]],Table57[],2,FALSE),"NO PROFILE")</f>
        <v>Mr. &amp; Mrs. Smiths</v>
      </c>
      <c r="H362">
        <v>12365.9</v>
      </c>
      <c r="I362">
        <v>4993</v>
      </c>
    </row>
    <row r="363" spans="1:9" x14ac:dyDescent="0.25">
      <c r="A363" t="s">
        <v>10</v>
      </c>
      <c r="B363" t="str">
        <f>VLOOKUP(Simulated_Dept_Data[[#This Row],[DepartmentID]],Table578[],2,FALSE)</f>
        <v>Formalwear</v>
      </c>
      <c r="C363">
        <v>2022</v>
      </c>
      <c r="D363">
        <v>2</v>
      </c>
      <c r="E363" t="str">
        <f>VLOOKUP(Simulated_Dept_Data[[#This Row],[SegmentID]],Table5[],2,FALSE)</f>
        <v>Core Customers</v>
      </c>
      <c r="F363">
        <v>4</v>
      </c>
      <c r="G363" t="str">
        <f>IFERROR(VLOOKUP(Simulated_Dept_Data[[#This Row],[ProfileID]],Table57[],2,FALSE),"NO PROFILE")</f>
        <v>Blue Collar Royalty</v>
      </c>
      <c r="H363">
        <v>8.6999999999999993</v>
      </c>
      <c r="I363">
        <v>132</v>
      </c>
    </row>
    <row r="364" spans="1:9" x14ac:dyDescent="0.25">
      <c r="A364" t="s">
        <v>10</v>
      </c>
      <c r="B364" t="str">
        <f>VLOOKUP(Simulated_Dept_Data[[#This Row],[DepartmentID]],Table578[],2,FALSE)</f>
        <v>Formalwear</v>
      </c>
      <c r="C364">
        <v>2022</v>
      </c>
      <c r="D364">
        <v>2</v>
      </c>
      <c r="E364" t="str">
        <f>VLOOKUP(Simulated_Dept_Data[[#This Row],[SegmentID]],Table5[],2,FALSE)</f>
        <v>Core Customers</v>
      </c>
      <c r="F364">
        <v>5</v>
      </c>
      <c r="G364" t="str">
        <f>IFERROR(VLOOKUP(Simulated_Dept_Data[[#This Row],[ProfileID]],Table57[],2,FALSE),"NO PROFILE")</f>
        <v>Pinched Pockets</v>
      </c>
      <c r="H364">
        <v>2568.71</v>
      </c>
      <c r="I364">
        <v>2276</v>
      </c>
    </row>
    <row r="365" spans="1:9" x14ac:dyDescent="0.25">
      <c r="A365" t="s">
        <v>10</v>
      </c>
      <c r="B365" t="str">
        <f>VLOOKUP(Simulated_Dept_Data[[#This Row],[DepartmentID]],Table578[],2,FALSE)</f>
        <v>Formalwear</v>
      </c>
      <c r="C365">
        <v>2022</v>
      </c>
      <c r="D365">
        <v>2</v>
      </c>
      <c r="E365" t="str">
        <f>VLOOKUP(Simulated_Dept_Data[[#This Row],[SegmentID]],Table5[],2,FALSE)</f>
        <v>Core Customers</v>
      </c>
      <c r="F365">
        <v>6</v>
      </c>
      <c r="G365" t="str">
        <f>IFERROR(VLOOKUP(Simulated_Dept_Data[[#This Row],[ProfileID]],Table57[],2,FALSE),"NO PROFILE")</f>
        <v>Normal Families</v>
      </c>
      <c r="H365">
        <v>1546.05</v>
      </c>
      <c r="I365">
        <v>1765</v>
      </c>
    </row>
    <row r="366" spans="1:9" x14ac:dyDescent="0.25">
      <c r="A366" t="s">
        <v>10</v>
      </c>
      <c r="B366" t="str">
        <f>VLOOKUP(Simulated_Dept_Data[[#This Row],[DepartmentID]],Table578[],2,FALSE)</f>
        <v>Formalwear</v>
      </c>
      <c r="C366">
        <v>2022</v>
      </c>
      <c r="D366">
        <v>3</v>
      </c>
      <c r="E366" t="str">
        <f>VLOOKUP(Simulated_Dept_Data[[#This Row],[SegmentID]],Table5[],2,FALSE)</f>
        <v>Power Shoppers</v>
      </c>
      <c r="G366" t="str">
        <f>IFERROR(VLOOKUP(Simulated_Dept_Data[[#This Row],[ProfileID]],Table57[],2,FALSE),"NO PROFILE")</f>
        <v>NO PROFILE</v>
      </c>
      <c r="H366">
        <v>1816.92</v>
      </c>
      <c r="I366">
        <v>1882</v>
      </c>
    </row>
    <row r="367" spans="1:9" x14ac:dyDescent="0.25">
      <c r="A367" t="s">
        <v>10</v>
      </c>
      <c r="B367" t="str">
        <f>VLOOKUP(Simulated_Dept_Data[[#This Row],[DepartmentID]],Table578[],2,FALSE)</f>
        <v>Formalwear</v>
      </c>
      <c r="C367">
        <v>2022</v>
      </c>
      <c r="D367">
        <v>3</v>
      </c>
      <c r="E367" t="str">
        <f>VLOOKUP(Simulated_Dept_Data[[#This Row],[SegmentID]],Table5[],2,FALSE)</f>
        <v>Power Shoppers</v>
      </c>
      <c r="F367">
        <v>1</v>
      </c>
      <c r="G367" t="str">
        <f>IFERROR(VLOOKUP(Simulated_Dept_Data[[#This Row],[ProfileID]],Table57[],2,FALSE),"NO PROFILE")</f>
        <v>City Slickers</v>
      </c>
      <c r="H367">
        <v>8701.01</v>
      </c>
      <c r="I367">
        <v>4120</v>
      </c>
    </row>
    <row r="368" spans="1:9" x14ac:dyDescent="0.25">
      <c r="A368" t="s">
        <v>10</v>
      </c>
      <c r="B368" t="str">
        <f>VLOOKUP(Simulated_Dept_Data[[#This Row],[DepartmentID]],Table578[],2,FALSE)</f>
        <v>Formalwear</v>
      </c>
      <c r="C368">
        <v>2022</v>
      </c>
      <c r="D368">
        <v>3</v>
      </c>
      <c r="E368" t="str">
        <f>VLOOKUP(Simulated_Dept_Data[[#This Row],[SegmentID]],Table5[],2,FALSE)</f>
        <v>Power Shoppers</v>
      </c>
      <c r="F368">
        <v>2</v>
      </c>
      <c r="G368" t="str">
        <f>IFERROR(VLOOKUP(Simulated_Dept_Data[[#This Row],[ProfileID]],Table57[],2,FALSE),"NO PROFILE")</f>
        <v>Rich &amp; Richer</v>
      </c>
      <c r="H368">
        <v>1188.76</v>
      </c>
      <c r="I368">
        <v>1523</v>
      </c>
    </row>
    <row r="369" spans="1:9" x14ac:dyDescent="0.25">
      <c r="A369" t="s">
        <v>10</v>
      </c>
      <c r="B369" t="str">
        <f>VLOOKUP(Simulated_Dept_Data[[#This Row],[DepartmentID]],Table578[],2,FALSE)</f>
        <v>Formalwear</v>
      </c>
      <c r="C369">
        <v>2022</v>
      </c>
      <c r="D369">
        <v>3</v>
      </c>
      <c r="E369" t="str">
        <f>VLOOKUP(Simulated_Dept_Data[[#This Row],[SegmentID]],Table5[],2,FALSE)</f>
        <v>Power Shoppers</v>
      </c>
      <c r="F369">
        <v>3</v>
      </c>
      <c r="G369" t="str">
        <f>IFERROR(VLOOKUP(Simulated_Dept_Data[[#This Row],[ProfileID]],Table57[],2,FALSE),"NO PROFILE")</f>
        <v>Mr. &amp; Mrs. Smiths</v>
      </c>
      <c r="H369">
        <v>170.41</v>
      </c>
      <c r="I369">
        <v>577</v>
      </c>
    </row>
    <row r="370" spans="1:9" x14ac:dyDescent="0.25">
      <c r="A370" t="s">
        <v>10</v>
      </c>
      <c r="B370" t="str">
        <f>VLOOKUP(Simulated_Dept_Data[[#This Row],[DepartmentID]],Table578[],2,FALSE)</f>
        <v>Formalwear</v>
      </c>
      <c r="C370">
        <v>2022</v>
      </c>
      <c r="D370">
        <v>3</v>
      </c>
      <c r="E370" t="str">
        <f>VLOOKUP(Simulated_Dept_Data[[#This Row],[SegmentID]],Table5[],2,FALSE)</f>
        <v>Power Shoppers</v>
      </c>
      <c r="F370">
        <v>4</v>
      </c>
      <c r="G370" t="str">
        <f>IFERROR(VLOOKUP(Simulated_Dept_Data[[#This Row],[ProfileID]],Table57[],2,FALSE),"NO PROFILE")</f>
        <v>Blue Collar Royalty</v>
      </c>
      <c r="H370">
        <v>5117.62</v>
      </c>
      <c r="I370">
        <v>3159</v>
      </c>
    </row>
    <row r="371" spans="1:9" x14ac:dyDescent="0.25">
      <c r="A371" t="s">
        <v>10</v>
      </c>
      <c r="B371" t="str">
        <f>VLOOKUP(Simulated_Dept_Data[[#This Row],[DepartmentID]],Table578[],2,FALSE)</f>
        <v>Formalwear</v>
      </c>
      <c r="C371">
        <v>2022</v>
      </c>
      <c r="D371">
        <v>3</v>
      </c>
      <c r="E371" t="str">
        <f>VLOOKUP(Simulated_Dept_Data[[#This Row],[SegmentID]],Table5[],2,FALSE)</f>
        <v>Power Shoppers</v>
      </c>
      <c r="F371">
        <v>5</v>
      </c>
      <c r="G371" t="str">
        <f>IFERROR(VLOOKUP(Simulated_Dept_Data[[#This Row],[ProfileID]],Table57[],2,FALSE),"NO PROFILE")</f>
        <v>Pinched Pockets</v>
      </c>
      <c r="H371">
        <v>1846.38</v>
      </c>
      <c r="I371">
        <v>1898</v>
      </c>
    </row>
    <row r="372" spans="1:9" x14ac:dyDescent="0.25">
      <c r="A372" t="s">
        <v>10</v>
      </c>
      <c r="B372" t="str">
        <f>VLOOKUP(Simulated_Dept_Data[[#This Row],[DepartmentID]],Table578[],2,FALSE)</f>
        <v>Formalwear</v>
      </c>
      <c r="C372">
        <v>2022</v>
      </c>
      <c r="D372">
        <v>3</v>
      </c>
      <c r="E372" t="str">
        <f>VLOOKUP(Simulated_Dept_Data[[#This Row],[SegmentID]],Table5[],2,FALSE)</f>
        <v>Power Shoppers</v>
      </c>
      <c r="F372">
        <v>6</v>
      </c>
      <c r="G372" t="str">
        <f>IFERROR(VLOOKUP(Simulated_Dept_Data[[#This Row],[ProfileID]],Table57[],2,FALSE),"NO PROFILE")</f>
        <v>Normal Families</v>
      </c>
      <c r="H372">
        <v>53.51</v>
      </c>
      <c r="I372">
        <v>323</v>
      </c>
    </row>
    <row r="373" spans="1:9" x14ac:dyDescent="0.25">
      <c r="A373" t="s">
        <v>10</v>
      </c>
      <c r="B373" t="str">
        <f>VLOOKUP(Simulated_Dept_Data[[#This Row],[DepartmentID]],Table578[],2,FALSE)</f>
        <v>Formalwear</v>
      </c>
      <c r="C373">
        <v>2022</v>
      </c>
      <c r="D373">
        <v>4</v>
      </c>
      <c r="E373" t="str">
        <f>VLOOKUP(Simulated_Dept_Data[[#This Row],[SegmentID]],Table5[],2,FALSE)</f>
        <v>Infrequent Customers</v>
      </c>
      <c r="G373" t="str">
        <f>IFERROR(VLOOKUP(Simulated_Dept_Data[[#This Row],[ProfileID]],Table57[],2,FALSE),"NO PROFILE")</f>
        <v>NO PROFILE</v>
      </c>
      <c r="H373">
        <v>1901.43</v>
      </c>
      <c r="I373">
        <v>1929</v>
      </c>
    </row>
    <row r="374" spans="1:9" x14ac:dyDescent="0.25">
      <c r="A374" t="s">
        <v>10</v>
      </c>
      <c r="B374" t="str">
        <f>VLOOKUP(Simulated_Dept_Data[[#This Row],[DepartmentID]],Table578[],2,FALSE)</f>
        <v>Formalwear</v>
      </c>
      <c r="C374">
        <v>2022</v>
      </c>
      <c r="D374">
        <v>4</v>
      </c>
      <c r="E374" t="str">
        <f>VLOOKUP(Simulated_Dept_Data[[#This Row],[SegmentID]],Table5[],2,FALSE)</f>
        <v>Infrequent Customers</v>
      </c>
      <c r="F374">
        <v>1</v>
      </c>
      <c r="G374" t="str">
        <f>IFERROR(VLOOKUP(Simulated_Dept_Data[[#This Row],[ProfileID]],Table57[],2,FALSE),"NO PROFILE")</f>
        <v>City Slickers</v>
      </c>
      <c r="H374">
        <v>7648.25</v>
      </c>
      <c r="I374">
        <v>3868</v>
      </c>
    </row>
    <row r="375" spans="1:9" x14ac:dyDescent="0.25">
      <c r="A375" t="s">
        <v>10</v>
      </c>
      <c r="B375" t="str">
        <f>VLOOKUP(Simulated_Dept_Data[[#This Row],[DepartmentID]],Table578[],2,FALSE)</f>
        <v>Formalwear</v>
      </c>
      <c r="C375">
        <v>2022</v>
      </c>
      <c r="D375">
        <v>4</v>
      </c>
      <c r="E375" t="str">
        <f>VLOOKUP(Simulated_Dept_Data[[#This Row],[SegmentID]],Table5[],2,FALSE)</f>
        <v>Infrequent Customers</v>
      </c>
      <c r="F375">
        <v>2</v>
      </c>
      <c r="G375" t="str">
        <f>IFERROR(VLOOKUP(Simulated_Dept_Data[[#This Row],[ProfileID]],Table57[],2,FALSE),"NO PROFILE")</f>
        <v>Rich &amp; Richer</v>
      </c>
      <c r="H375">
        <v>178.4</v>
      </c>
      <c r="I375">
        <v>591</v>
      </c>
    </row>
    <row r="376" spans="1:9" x14ac:dyDescent="0.25">
      <c r="A376" t="s">
        <v>10</v>
      </c>
      <c r="B376" t="str">
        <f>VLOOKUP(Simulated_Dept_Data[[#This Row],[DepartmentID]],Table578[],2,FALSE)</f>
        <v>Formalwear</v>
      </c>
      <c r="C376">
        <v>2022</v>
      </c>
      <c r="D376">
        <v>4</v>
      </c>
      <c r="E376" t="str">
        <f>VLOOKUP(Simulated_Dept_Data[[#This Row],[SegmentID]],Table5[],2,FALSE)</f>
        <v>Infrequent Customers</v>
      </c>
      <c r="F376">
        <v>3</v>
      </c>
      <c r="G376" t="str">
        <f>IFERROR(VLOOKUP(Simulated_Dept_Data[[#This Row],[ProfileID]],Table57[],2,FALSE),"NO PROFILE")</f>
        <v>Mr. &amp; Mrs. Smiths</v>
      </c>
      <c r="H376">
        <v>1508.49</v>
      </c>
      <c r="I376">
        <v>1718</v>
      </c>
    </row>
    <row r="377" spans="1:9" x14ac:dyDescent="0.25">
      <c r="A377" t="s">
        <v>10</v>
      </c>
      <c r="B377" t="str">
        <f>VLOOKUP(Simulated_Dept_Data[[#This Row],[DepartmentID]],Table578[],2,FALSE)</f>
        <v>Formalwear</v>
      </c>
      <c r="C377">
        <v>2022</v>
      </c>
      <c r="D377">
        <v>4</v>
      </c>
      <c r="E377" t="str">
        <f>VLOOKUP(Simulated_Dept_Data[[#This Row],[SegmentID]],Table5[],2,FALSE)</f>
        <v>Infrequent Customers</v>
      </c>
      <c r="F377">
        <v>4</v>
      </c>
      <c r="G377" t="str">
        <f>IFERROR(VLOOKUP(Simulated_Dept_Data[[#This Row],[ProfileID]],Table57[],2,FALSE),"NO PROFILE")</f>
        <v>Blue Collar Royalty</v>
      </c>
      <c r="H377">
        <v>7131.61</v>
      </c>
      <c r="I377">
        <v>3735</v>
      </c>
    </row>
    <row r="378" spans="1:9" x14ac:dyDescent="0.25">
      <c r="A378" t="s">
        <v>10</v>
      </c>
      <c r="B378" t="str">
        <f>VLOOKUP(Simulated_Dept_Data[[#This Row],[DepartmentID]],Table578[],2,FALSE)</f>
        <v>Formalwear</v>
      </c>
      <c r="C378">
        <v>2022</v>
      </c>
      <c r="D378">
        <v>4</v>
      </c>
      <c r="E378" t="str">
        <f>VLOOKUP(Simulated_Dept_Data[[#This Row],[SegmentID]],Table5[],2,FALSE)</f>
        <v>Infrequent Customers</v>
      </c>
      <c r="F378">
        <v>5</v>
      </c>
      <c r="G378" t="str">
        <f>IFERROR(VLOOKUP(Simulated_Dept_Data[[#This Row],[ProfileID]],Table57[],2,FALSE),"NO PROFILE")</f>
        <v>Pinched Pockets</v>
      </c>
      <c r="H378">
        <v>15.18</v>
      </c>
      <c r="I378">
        <v>172</v>
      </c>
    </row>
    <row r="379" spans="1:9" x14ac:dyDescent="0.25">
      <c r="A379" t="s">
        <v>10</v>
      </c>
      <c r="B379" t="str">
        <f>VLOOKUP(Simulated_Dept_Data[[#This Row],[DepartmentID]],Table578[],2,FALSE)</f>
        <v>Formalwear</v>
      </c>
      <c r="C379">
        <v>2022</v>
      </c>
      <c r="D379">
        <v>4</v>
      </c>
      <c r="E379" t="str">
        <f>VLOOKUP(Simulated_Dept_Data[[#This Row],[SegmentID]],Table5[],2,FALSE)</f>
        <v>Infrequent Customers</v>
      </c>
      <c r="F379">
        <v>6</v>
      </c>
      <c r="G379" t="str">
        <f>IFERROR(VLOOKUP(Simulated_Dept_Data[[#This Row],[ProfileID]],Table57[],2,FALSE),"NO PROFILE")</f>
        <v>Normal Families</v>
      </c>
      <c r="H379">
        <v>766.77</v>
      </c>
      <c r="I379">
        <v>1225</v>
      </c>
    </row>
    <row r="380" spans="1:9" x14ac:dyDescent="0.25">
      <c r="A380" t="s">
        <v>10</v>
      </c>
      <c r="B380" t="str">
        <f>VLOOKUP(Simulated_Dept_Data[[#This Row],[DepartmentID]],Table578[],2,FALSE)</f>
        <v>Formalwear</v>
      </c>
      <c r="C380">
        <v>2022</v>
      </c>
      <c r="D380">
        <v>5</v>
      </c>
      <c r="E380" t="str">
        <f>VLOOKUP(Simulated_Dept_Data[[#This Row],[SegmentID]],Table5[],2,FALSE)</f>
        <v>New Customers</v>
      </c>
      <c r="G380" t="str">
        <f>IFERROR(VLOOKUP(Simulated_Dept_Data[[#This Row],[ProfileID]],Table57[],2,FALSE),"NO PROFILE")</f>
        <v>NO PROFILE</v>
      </c>
      <c r="H380">
        <v>13117</v>
      </c>
      <c r="I380">
        <v>4940</v>
      </c>
    </row>
    <row r="381" spans="1:9" x14ac:dyDescent="0.25">
      <c r="A381" t="s">
        <v>10</v>
      </c>
      <c r="B381" t="str">
        <f>VLOOKUP(Simulated_Dept_Data[[#This Row],[DepartmentID]],Table578[],2,FALSE)</f>
        <v>Formalwear</v>
      </c>
      <c r="C381">
        <v>2022</v>
      </c>
      <c r="D381">
        <v>5</v>
      </c>
      <c r="E381" t="str">
        <f>VLOOKUP(Simulated_Dept_Data[[#This Row],[SegmentID]],Table5[],2,FALSE)</f>
        <v>New Customers</v>
      </c>
      <c r="F381">
        <v>1</v>
      </c>
      <c r="G381" t="str">
        <f>IFERROR(VLOOKUP(Simulated_Dept_Data[[#This Row],[ProfileID]],Table57[],2,FALSE),"NO PROFILE")</f>
        <v>City Slickers</v>
      </c>
      <c r="H381">
        <v>4423.28</v>
      </c>
      <c r="I381">
        <v>2869</v>
      </c>
    </row>
    <row r="382" spans="1:9" x14ac:dyDescent="0.25">
      <c r="A382" t="s">
        <v>10</v>
      </c>
      <c r="B382" t="str">
        <f>VLOOKUP(Simulated_Dept_Data[[#This Row],[DepartmentID]],Table578[],2,FALSE)</f>
        <v>Formalwear</v>
      </c>
      <c r="C382">
        <v>2022</v>
      </c>
      <c r="D382">
        <v>5</v>
      </c>
      <c r="E382" t="str">
        <f>VLOOKUP(Simulated_Dept_Data[[#This Row],[SegmentID]],Table5[],2,FALSE)</f>
        <v>New Customers</v>
      </c>
      <c r="F382">
        <v>2</v>
      </c>
      <c r="G382" t="str">
        <f>IFERROR(VLOOKUP(Simulated_Dept_Data[[#This Row],[ProfileID]],Table57[],2,FALSE),"NO PROFILE")</f>
        <v>Rich &amp; Richer</v>
      </c>
      <c r="H382">
        <v>9506.89</v>
      </c>
      <c r="I382">
        <v>4206</v>
      </c>
    </row>
    <row r="383" spans="1:9" x14ac:dyDescent="0.25">
      <c r="A383" t="s">
        <v>10</v>
      </c>
      <c r="B383" t="str">
        <f>VLOOKUP(Simulated_Dept_Data[[#This Row],[DepartmentID]],Table578[],2,FALSE)</f>
        <v>Formalwear</v>
      </c>
      <c r="C383">
        <v>2022</v>
      </c>
      <c r="D383">
        <v>5</v>
      </c>
      <c r="E383" t="str">
        <f>VLOOKUP(Simulated_Dept_Data[[#This Row],[SegmentID]],Table5[],2,FALSE)</f>
        <v>New Customers</v>
      </c>
      <c r="F383">
        <v>3</v>
      </c>
      <c r="G383" t="str">
        <f>IFERROR(VLOOKUP(Simulated_Dept_Data[[#This Row],[ProfileID]],Table57[],2,FALSE),"NO PROFILE")</f>
        <v>Mr. &amp; Mrs. Smiths</v>
      </c>
      <c r="H383">
        <v>14543.13</v>
      </c>
      <c r="I383">
        <v>5202</v>
      </c>
    </row>
    <row r="384" spans="1:9" x14ac:dyDescent="0.25">
      <c r="A384" t="s">
        <v>10</v>
      </c>
      <c r="B384" t="str">
        <f>VLOOKUP(Simulated_Dept_Data[[#This Row],[DepartmentID]],Table578[],2,FALSE)</f>
        <v>Formalwear</v>
      </c>
      <c r="C384">
        <v>2022</v>
      </c>
      <c r="D384">
        <v>5</v>
      </c>
      <c r="E384" t="str">
        <f>VLOOKUP(Simulated_Dept_Data[[#This Row],[SegmentID]],Table5[],2,FALSE)</f>
        <v>New Customers</v>
      </c>
      <c r="F384">
        <v>4</v>
      </c>
      <c r="G384" t="str">
        <f>IFERROR(VLOOKUP(Simulated_Dept_Data[[#This Row],[ProfileID]],Table57[],2,FALSE),"NO PROFILE")</f>
        <v>Blue Collar Royalty</v>
      </c>
      <c r="H384">
        <v>18.13</v>
      </c>
      <c r="I384">
        <v>184</v>
      </c>
    </row>
    <row r="385" spans="1:9" x14ac:dyDescent="0.25">
      <c r="A385" t="s">
        <v>10</v>
      </c>
      <c r="B385" t="str">
        <f>VLOOKUP(Simulated_Dept_Data[[#This Row],[DepartmentID]],Table578[],2,FALSE)</f>
        <v>Formalwear</v>
      </c>
      <c r="C385">
        <v>2022</v>
      </c>
      <c r="D385">
        <v>5</v>
      </c>
      <c r="E385" t="str">
        <f>VLOOKUP(Simulated_Dept_Data[[#This Row],[SegmentID]],Table5[],2,FALSE)</f>
        <v>New Customers</v>
      </c>
      <c r="F385">
        <v>5</v>
      </c>
      <c r="G385" t="str">
        <f>IFERROR(VLOOKUP(Simulated_Dept_Data[[#This Row],[ProfileID]],Table57[],2,FALSE),"NO PROFILE")</f>
        <v>Pinched Pockets</v>
      </c>
      <c r="H385">
        <v>22.1</v>
      </c>
      <c r="I385">
        <v>203</v>
      </c>
    </row>
    <row r="386" spans="1:9" x14ac:dyDescent="0.25">
      <c r="A386" t="s">
        <v>10</v>
      </c>
      <c r="B386" t="str">
        <f>VLOOKUP(Simulated_Dept_Data[[#This Row],[DepartmentID]],Table578[],2,FALSE)</f>
        <v>Formalwear</v>
      </c>
      <c r="C386">
        <v>2022</v>
      </c>
      <c r="D386">
        <v>5</v>
      </c>
      <c r="E386" t="str">
        <f>VLOOKUP(Simulated_Dept_Data[[#This Row],[SegmentID]],Table5[],2,FALSE)</f>
        <v>New Customers</v>
      </c>
      <c r="F386">
        <v>6</v>
      </c>
      <c r="G386" t="str">
        <f>IFERROR(VLOOKUP(Simulated_Dept_Data[[#This Row],[ProfileID]],Table57[],2,FALSE),"NO PROFILE")</f>
        <v>Normal Families</v>
      </c>
      <c r="H386">
        <v>110.42</v>
      </c>
      <c r="I386">
        <v>453</v>
      </c>
    </row>
    <row r="387" spans="1:9" x14ac:dyDescent="0.25">
      <c r="A387" t="s">
        <v>10</v>
      </c>
      <c r="B387" t="str">
        <f>VLOOKUP(Simulated_Dept_Data[[#This Row],[DepartmentID]],Table578[],2,FALSE)</f>
        <v>Formalwear</v>
      </c>
      <c r="C387">
        <v>2023</v>
      </c>
      <c r="D387">
        <v>1</v>
      </c>
      <c r="E387" t="str">
        <f>VLOOKUP(Simulated_Dept_Data[[#This Row],[SegmentID]],Table5[],2,FALSE)</f>
        <v>Elite Customers</v>
      </c>
      <c r="G387" t="str">
        <f>IFERROR(VLOOKUP(Simulated_Dept_Data[[#This Row],[ProfileID]],Table57[],2,FALSE),"NO PROFILE")</f>
        <v>NO PROFILE</v>
      </c>
      <c r="H387">
        <v>1773.22</v>
      </c>
      <c r="I387">
        <v>1698</v>
      </c>
    </row>
    <row r="388" spans="1:9" x14ac:dyDescent="0.25">
      <c r="A388" t="s">
        <v>10</v>
      </c>
      <c r="B388" t="str">
        <f>VLOOKUP(Simulated_Dept_Data[[#This Row],[DepartmentID]],Table578[],2,FALSE)</f>
        <v>Formalwear</v>
      </c>
      <c r="C388">
        <v>2023</v>
      </c>
      <c r="D388">
        <v>1</v>
      </c>
      <c r="E388" t="str">
        <f>VLOOKUP(Simulated_Dept_Data[[#This Row],[SegmentID]],Table5[],2,FALSE)</f>
        <v>Elite Customers</v>
      </c>
      <c r="F388">
        <v>1</v>
      </c>
      <c r="G388" t="str">
        <f>IFERROR(VLOOKUP(Simulated_Dept_Data[[#This Row],[ProfileID]],Table57[],2,FALSE),"NO PROFILE")</f>
        <v>City Slickers</v>
      </c>
      <c r="H388">
        <v>5587.9</v>
      </c>
      <c r="I388">
        <v>3014</v>
      </c>
    </row>
    <row r="389" spans="1:9" x14ac:dyDescent="0.25">
      <c r="A389" t="s">
        <v>10</v>
      </c>
      <c r="B389" t="str">
        <f>VLOOKUP(Simulated_Dept_Data[[#This Row],[DepartmentID]],Table578[],2,FALSE)</f>
        <v>Formalwear</v>
      </c>
      <c r="C389">
        <v>2023</v>
      </c>
      <c r="D389">
        <v>1</v>
      </c>
      <c r="E389" t="str">
        <f>VLOOKUP(Simulated_Dept_Data[[#This Row],[SegmentID]],Table5[],2,FALSE)</f>
        <v>Elite Customers</v>
      </c>
      <c r="F389">
        <v>2</v>
      </c>
      <c r="G389" t="str">
        <f>IFERROR(VLOOKUP(Simulated_Dept_Data[[#This Row],[ProfileID]],Table57[],2,FALSE),"NO PROFILE")</f>
        <v>Rich &amp; Richer</v>
      </c>
      <c r="H389">
        <v>6354.99</v>
      </c>
      <c r="I389">
        <v>3214</v>
      </c>
    </row>
    <row r="390" spans="1:9" x14ac:dyDescent="0.25">
      <c r="A390" t="s">
        <v>10</v>
      </c>
      <c r="B390" t="str">
        <f>VLOOKUP(Simulated_Dept_Data[[#This Row],[DepartmentID]],Table578[],2,FALSE)</f>
        <v>Formalwear</v>
      </c>
      <c r="C390">
        <v>2023</v>
      </c>
      <c r="D390">
        <v>1</v>
      </c>
      <c r="E390" t="str">
        <f>VLOOKUP(Simulated_Dept_Data[[#This Row],[SegmentID]],Table5[],2,FALSE)</f>
        <v>Elite Customers</v>
      </c>
      <c r="F390">
        <v>3</v>
      </c>
      <c r="G390" t="str">
        <f>IFERROR(VLOOKUP(Simulated_Dept_Data[[#This Row],[ProfileID]],Table57[],2,FALSE),"NO PROFILE")</f>
        <v>Mr. &amp; Mrs. Smiths</v>
      </c>
      <c r="H390">
        <v>6500.12</v>
      </c>
      <c r="I390">
        <v>3251</v>
      </c>
    </row>
    <row r="391" spans="1:9" x14ac:dyDescent="0.25">
      <c r="A391" t="s">
        <v>10</v>
      </c>
      <c r="B391" t="str">
        <f>VLOOKUP(Simulated_Dept_Data[[#This Row],[DepartmentID]],Table578[],2,FALSE)</f>
        <v>Formalwear</v>
      </c>
      <c r="C391">
        <v>2023</v>
      </c>
      <c r="D391">
        <v>1</v>
      </c>
      <c r="E391" t="str">
        <f>VLOOKUP(Simulated_Dept_Data[[#This Row],[SegmentID]],Table5[],2,FALSE)</f>
        <v>Elite Customers</v>
      </c>
      <c r="F391">
        <v>4</v>
      </c>
      <c r="G391" t="str">
        <f>IFERROR(VLOOKUP(Simulated_Dept_Data[[#This Row],[ProfileID]],Table57[],2,FALSE),"NO PROFILE")</f>
        <v>Blue Collar Royalty</v>
      </c>
      <c r="H391">
        <v>1778.59</v>
      </c>
      <c r="I391">
        <v>1700</v>
      </c>
    </row>
    <row r="392" spans="1:9" x14ac:dyDescent="0.25">
      <c r="A392" t="s">
        <v>10</v>
      </c>
      <c r="B392" t="str">
        <f>VLOOKUP(Simulated_Dept_Data[[#This Row],[DepartmentID]],Table578[],2,FALSE)</f>
        <v>Formalwear</v>
      </c>
      <c r="C392">
        <v>2023</v>
      </c>
      <c r="D392">
        <v>1</v>
      </c>
      <c r="E392" t="str">
        <f>VLOOKUP(Simulated_Dept_Data[[#This Row],[SegmentID]],Table5[],2,FALSE)</f>
        <v>Elite Customers</v>
      </c>
      <c r="F392">
        <v>5</v>
      </c>
      <c r="G392" t="str">
        <f>IFERROR(VLOOKUP(Simulated_Dept_Data[[#This Row],[ProfileID]],Table57[],2,FALSE),"NO PROFILE")</f>
        <v>Pinched Pockets</v>
      </c>
      <c r="H392">
        <v>8612.61</v>
      </c>
      <c r="I392">
        <v>3742</v>
      </c>
    </row>
    <row r="393" spans="1:9" x14ac:dyDescent="0.25">
      <c r="A393" t="s">
        <v>10</v>
      </c>
      <c r="B393" t="str">
        <f>VLOOKUP(Simulated_Dept_Data[[#This Row],[DepartmentID]],Table578[],2,FALSE)</f>
        <v>Formalwear</v>
      </c>
      <c r="C393">
        <v>2023</v>
      </c>
      <c r="D393">
        <v>1</v>
      </c>
      <c r="E393" t="str">
        <f>VLOOKUP(Simulated_Dept_Data[[#This Row],[SegmentID]],Table5[],2,FALSE)</f>
        <v>Elite Customers</v>
      </c>
      <c r="F393">
        <v>6</v>
      </c>
      <c r="G393" t="str">
        <f>IFERROR(VLOOKUP(Simulated_Dept_Data[[#This Row],[ProfileID]],Table57[],2,FALSE),"NO PROFILE")</f>
        <v>Normal Families</v>
      </c>
      <c r="H393">
        <v>1353.14</v>
      </c>
      <c r="I393">
        <v>1483</v>
      </c>
    </row>
    <row r="394" spans="1:9" x14ac:dyDescent="0.25">
      <c r="A394" t="s">
        <v>10</v>
      </c>
      <c r="B394" t="str">
        <f>VLOOKUP(Simulated_Dept_Data[[#This Row],[DepartmentID]],Table578[],2,FALSE)</f>
        <v>Formalwear</v>
      </c>
      <c r="C394">
        <v>2023</v>
      </c>
      <c r="D394">
        <v>2</v>
      </c>
      <c r="E394" t="str">
        <f>VLOOKUP(Simulated_Dept_Data[[#This Row],[SegmentID]],Table5[],2,FALSE)</f>
        <v>Core Customers</v>
      </c>
      <c r="G394" t="str">
        <f>IFERROR(VLOOKUP(Simulated_Dept_Data[[#This Row],[ProfileID]],Table57[],2,FALSE),"NO PROFILE")</f>
        <v>NO PROFILE</v>
      </c>
      <c r="H394">
        <v>12198.17</v>
      </c>
      <c r="I394">
        <v>5037</v>
      </c>
    </row>
    <row r="395" spans="1:9" x14ac:dyDescent="0.25">
      <c r="A395" t="s">
        <v>10</v>
      </c>
      <c r="B395" t="str">
        <f>VLOOKUP(Simulated_Dept_Data[[#This Row],[DepartmentID]],Table578[],2,FALSE)</f>
        <v>Formalwear</v>
      </c>
      <c r="C395">
        <v>2023</v>
      </c>
      <c r="D395">
        <v>2</v>
      </c>
      <c r="E395" t="str">
        <f>VLOOKUP(Simulated_Dept_Data[[#This Row],[SegmentID]],Table5[],2,FALSE)</f>
        <v>Core Customers</v>
      </c>
      <c r="F395">
        <v>1</v>
      </c>
      <c r="G395" t="str">
        <f>IFERROR(VLOOKUP(Simulated_Dept_Data[[#This Row],[ProfileID]],Table57[],2,FALSE),"NO PROFILE")</f>
        <v>City Slickers</v>
      </c>
      <c r="H395">
        <v>2918.26</v>
      </c>
      <c r="I395">
        <v>2464</v>
      </c>
    </row>
    <row r="396" spans="1:9" x14ac:dyDescent="0.25">
      <c r="A396" t="s">
        <v>10</v>
      </c>
      <c r="B396" t="str">
        <f>VLOOKUP(Simulated_Dept_Data[[#This Row],[DepartmentID]],Table578[],2,FALSE)</f>
        <v>Formalwear</v>
      </c>
      <c r="C396">
        <v>2023</v>
      </c>
      <c r="D396">
        <v>2</v>
      </c>
      <c r="E396" t="str">
        <f>VLOOKUP(Simulated_Dept_Data[[#This Row],[SegmentID]],Table5[],2,FALSE)</f>
        <v>Core Customers</v>
      </c>
      <c r="F396">
        <v>2</v>
      </c>
      <c r="G396" t="str">
        <f>IFERROR(VLOOKUP(Simulated_Dept_Data[[#This Row],[ProfileID]],Table57[],2,FALSE),"NO PROFILE")</f>
        <v>Rich &amp; Richer</v>
      </c>
      <c r="H396">
        <v>4665.66</v>
      </c>
      <c r="I396">
        <v>3115</v>
      </c>
    </row>
    <row r="397" spans="1:9" x14ac:dyDescent="0.25">
      <c r="A397" t="s">
        <v>10</v>
      </c>
      <c r="B397" t="str">
        <f>VLOOKUP(Simulated_Dept_Data[[#This Row],[DepartmentID]],Table578[],2,FALSE)</f>
        <v>Formalwear</v>
      </c>
      <c r="C397">
        <v>2023</v>
      </c>
      <c r="D397">
        <v>2</v>
      </c>
      <c r="E397" t="str">
        <f>VLOOKUP(Simulated_Dept_Data[[#This Row],[SegmentID]],Table5[],2,FALSE)</f>
        <v>Core Customers</v>
      </c>
      <c r="F397">
        <v>3</v>
      </c>
      <c r="G397" t="str">
        <f>IFERROR(VLOOKUP(Simulated_Dept_Data[[#This Row],[ProfileID]],Table57[],2,FALSE),"NO PROFILE")</f>
        <v>Mr. &amp; Mrs. Smiths</v>
      </c>
      <c r="H397">
        <v>10211.51</v>
      </c>
      <c r="I397">
        <v>4609</v>
      </c>
    </row>
    <row r="398" spans="1:9" x14ac:dyDescent="0.25">
      <c r="A398" t="s">
        <v>10</v>
      </c>
      <c r="B398" t="str">
        <f>VLOOKUP(Simulated_Dept_Data[[#This Row],[DepartmentID]],Table578[],2,FALSE)</f>
        <v>Formalwear</v>
      </c>
      <c r="C398">
        <v>2023</v>
      </c>
      <c r="D398">
        <v>2</v>
      </c>
      <c r="E398" t="str">
        <f>VLOOKUP(Simulated_Dept_Data[[#This Row],[SegmentID]],Table5[],2,FALSE)</f>
        <v>Core Customers</v>
      </c>
      <c r="F398">
        <v>4</v>
      </c>
      <c r="G398" t="str">
        <f>IFERROR(VLOOKUP(Simulated_Dept_Data[[#This Row],[ProfileID]],Table57[],2,FALSE),"NO PROFILE")</f>
        <v>Blue Collar Royalty</v>
      </c>
      <c r="H398">
        <v>7.18</v>
      </c>
      <c r="I398">
        <v>122</v>
      </c>
    </row>
    <row r="399" spans="1:9" x14ac:dyDescent="0.25">
      <c r="A399" t="s">
        <v>10</v>
      </c>
      <c r="B399" t="str">
        <f>VLOOKUP(Simulated_Dept_Data[[#This Row],[DepartmentID]],Table578[],2,FALSE)</f>
        <v>Formalwear</v>
      </c>
      <c r="C399">
        <v>2023</v>
      </c>
      <c r="D399">
        <v>2</v>
      </c>
      <c r="E399" t="str">
        <f>VLOOKUP(Simulated_Dept_Data[[#This Row],[SegmentID]],Table5[],2,FALSE)</f>
        <v>Core Customers</v>
      </c>
      <c r="F399">
        <v>5</v>
      </c>
      <c r="G399" t="str">
        <f>IFERROR(VLOOKUP(Simulated_Dept_Data[[#This Row],[ProfileID]],Table57[],2,FALSE),"NO PROFILE")</f>
        <v>Pinched Pockets</v>
      </c>
      <c r="H399">
        <v>2121.19</v>
      </c>
      <c r="I399">
        <v>2101</v>
      </c>
    </row>
    <row r="400" spans="1:9" x14ac:dyDescent="0.25">
      <c r="A400" t="s">
        <v>10</v>
      </c>
      <c r="B400" t="str">
        <f>VLOOKUP(Simulated_Dept_Data[[#This Row],[DepartmentID]],Table578[],2,FALSE)</f>
        <v>Formalwear</v>
      </c>
      <c r="C400">
        <v>2023</v>
      </c>
      <c r="D400">
        <v>2</v>
      </c>
      <c r="E400" t="str">
        <f>VLOOKUP(Simulated_Dept_Data[[#This Row],[SegmentID]],Table5[],2,FALSE)</f>
        <v>Core Customers</v>
      </c>
      <c r="F400">
        <v>6</v>
      </c>
      <c r="G400" t="str">
        <f>IFERROR(VLOOKUP(Simulated_Dept_Data[[#This Row],[ProfileID]],Table57[],2,FALSE),"NO PROFILE")</f>
        <v>Normal Families</v>
      </c>
      <c r="H400">
        <v>1276.69</v>
      </c>
      <c r="I400">
        <v>1630</v>
      </c>
    </row>
    <row r="401" spans="1:9" x14ac:dyDescent="0.25">
      <c r="A401" t="s">
        <v>10</v>
      </c>
      <c r="B401" t="str">
        <f>VLOOKUP(Simulated_Dept_Data[[#This Row],[DepartmentID]],Table578[],2,FALSE)</f>
        <v>Formalwear</v>
      </c>
      <c r="C401">
        <v>2023</v>
      </c>
      <c r="D401">
        <v>3</v>
      </c>
      <c r="E401" t="str">
        <f>VLOOKUP(Simulated_Dept_Data[[#This Row],[SegmentID]],Table5[],2,FALSE)</f>
        <v>Power Shoppers</v>
      </c>
      <c r="G401" t="str">
        <f>IFERROR(VLOOKUP(Simulated_Dept_Data[[#This Row],[ProfileID]],Table57[],2,FALSE),"NO PROFILE")</f>
        <v>NO PROFILE</v>
      </c>
      <c r="H401">
        <v>1561.04</v>
      </c>
      <c r="I401">
        <v>1800</v>
      </c>
    </row>
    <row r="402" spans="1:9" x14ac:dyDescent="0.25">
      <c r="A402" t="s">
        <v>10</v>
      </c>
      <c r="B402" t="str">
        <f>VLOOKUP(Simulated_Dept_Data[[#This Row],[DepartmentID]],Table578[],2,FALSE)</f>
        <v>Formalwear</v>
      </c>
      <c r="C402">
        <v>2023</v>
      </c>
      <c r="D402">
        <v>3</v>
      </c>
      <c r="E402" t="str">
        <f>VLOOKUP(Simulated_Dept_Data[[#This Row],[SegmentID]],Table5[],2,FALSE)</f>
        <v>Power Shoppers</v>
      </c>
      <c r="F402">
        <v>1</v>
      </c>
      <c r="G402" t="str">
        <f>IFERROR(VLOOKUP(Simulated_Dept_Data[[#This Row],[ProfileID]],Table57[],2,FALSE),"NO PROFILE")</f>
        <v>City Slickers</v>
      </c>
      <c r="H402">
        <v>7475.61</v>
      </c>
      <c r="I402">
        <v>3940</v>
      </c>
    </row>
    <row r="403" spans="1:9" x14ac:dyDescent="0.25">
      <c r="A403" t="s">
        <v>10</v>
      </c>
      <c r="B403" t="str">
        <f>VLOOKUP(Simulated_Dept_Data[[#This Row],[DepartmentID]],Table578[],2,FALSE)</f>
        <v>Formalwear</v>
      </c>
      <c r="C403">
        <v>2023</v>
      </c>
      <c r="D403">
        <v>3</v>
      </c>
      <c r="E403" t="str">
        <f>VLOOKUP(Simulated_Dept_Data[[#This Row],[SegmentID]],Table5[],2,FALSE)</f>
        <v>Power Shoppers</v>
      </c>
      <c r="F403">
        <v>2</v>
      </c>
      <c r="G403" t="str">
        <f>IFERROR(VLOOKUP(Simulated_Dept_Data[[#This Row],[ProfileID]],Table57[],2,FALSE),"NO PROFILE")</f>
        <v>Rich &amp; Richer</v>
      </c>
      <c r="H403">
        <v>1021.34</v>
      </c>
      <c r="I403">
        <v>1456</v>
      </c>
    </row>
    <row r="404" spans="1:9" x14ac:dyDescent="0.25">
      <c r="A404" t="s">
        <v>10</v>
      </c>
      <c r="B404" t="str">
        <f>VLOOKUP(Simulated_Dept_Data[[#This Row],[DepartmentID]],Table578[],2,FALSE)</f>
        <v>Formalwear</v>
      </c>
      <c r="C404">
        <v>2023</v>
      </c>
      <c r="D404">
        <v>3</v>
      </c>
      <c r="E404" t="str">
        <f>VLOOKUP(Simulated_Dept_Data[[#This Row],[SegmentID]],Table5[],2,FALSE)</f>
        <v>Power Shoppers</v>
      </c>
      <c r="F404">
        <v>3</v>
      </c>
      <c r="G404" t="str">
        <f>IFERROR(VLOOKUP(Simulated_Dept_Data[[#This Row],[ProfileID]],Table57[],2,FALSE),"NO PROFILE")</f>
        <v>Mr. &amp; Mrs. Smiths</v>
      </c>
      <c r="H404">
        <v>146.41</v>
      </c>
      <c r="I404">
        <v>551</v>
      </c>
    </row>
    <row r="405" spans="1:9" x14ac:dyDescent="0.25">
      <c r="A405" t="s">
        <v>10</v>
      </c>
      <c r="B405" t="str">
        <f>VLOOKUP(Simulated_Dept_Data[[#This Row],[DepartmentID]],Table578[],2,FALSE)</f>
        <v>Formalwear</v>
      </c>
      <c r="C405">
        <v>2023</v>
      </c>
      <c r="D405">
        <v>3</v>
      </c>
      <c r="E405" t="str">
        <f>VLOOKUP(Simulated_Dept_Data[[#This Row],[SegmentID]],Table5[],2,FALSE)</f>
        <v>Power Shoppers</v>
      </c>
      <c r="F405">
        <v>4</v>
      </c>
      <c r="G405" t="str">
        <f>IFERROR(VLOOKUP(Simulated_Dept_Data[[#This Row],[ProfileID]],Table57[],2,FALSE),"NO PROFILE")</f>
        <v>Blue Collar Royalty</v>
      </c>
      <c r="H405">
        <v>4396.8900000000003</v>
      </c>
      <c r="I405">
        <v>3021</v>
      </c>
    </row>
    <row r="406" spans="1:9" x14ac:dyDescent="0.25">
      <c r="A406" t="s">
        <v>10</v>
      </c>
      <c r="B406" t="str">
        <f>VLOOKUP(Simulated_Dept_Data[[#This Row],[DepartmentID]],Table578[],2,FALSE)</f>
        <v>Formalwear</v>
      </c>
      <c r="C406">
        <v>2023</v>
      </c>
      <c r="D406">
        <v>3</v>
      </c>
      <c r="E406" t="str">
        <f>VLOOKUP(Simulated_Dept_Data[[#This Row],[SegmentID]],Table5[],2,FALSE)</f>
        <v>Power Shoppers</v>
      </c>
      <c r="F406">
        <v>5</v>
      </c>
      <c r="G406" t="str">
        <f>IFERROR(VLOOKUP(Simulated_Dept_Data[[#This Row],[ProfileID]],Table57[],2,FALSE),"NO PROFILE")</f>
        <v>Pinched Pockets</v>
      </c>
      <c r="H406">
        <v>1586.34</v>
      </c>
      <c r="I406">
        <v>1815</v>
      </c>
    </row>
    <row r="407" spans="1:9" x14ac:dyDescent="0.25">
      <c r="A407" t="s">
        <v>10</v>
      </c>
      <c r="B407" t="str">
        <f>VLOOKUP(Simulated_Dept_Data[[#This Row],[DepartmentID]],Table578[],2,FALSE)</f>
        <v>Formalwear</v>
      </c>
      <c r="C407">
        <v>2023</v>
      </c>
      <c r="D407">
        <v>3</v>
      </c>
      <c r="E407" t="str">
        <f>VLOOKUP(Simulated_Dept_Data[[#This Row],[SegmentID]],Table5[],2,FALSE)</f>
        <v>Power Shoppers</v>
      </c>
      <c r="F407">
        <v>6</v>
      </c>
      <c r="G407" t="str">
        <f>IFERROR(VLOOKUP(Simulated_Dept_Data[[#This Row],[ProfileID]],Table57[],2,FALSE),"NO PROFILE")</f>
        <v>Normal Families</v>
      </c>
      <c r="H407">
        <v>45.98</v>
      </c>
      <c r="I407">
        <v>309</v>
      </c>
    </row>
    <row r="408" spans="1:9" x14ac:dyDescent="0.25">
      <c r="A408" t="s">
        <v>10</v>
      </c>
      <c r="B408" t="str">
        <f>VLOOKUP(Simulated_Dept_Data[[#This Row],[DepartmentID]],Table578[],2,FALSE)</f>
        <v>Formalwear</v>
      </c>
      <c r="C408">
        <v>2023</v>
      </c>
      <c r="D408">
        <v>4</v>
      </c>
      <c r="E408" t="str">
        <f>VLOOKUP(Simulated_Dept_Data[[#This Row],[SegmentID]],Table5[],2,FALSE)</f>
        <v>Infrequent Customers</v>
      </c>
      <c r="G408" t="str">
        <f>IFERROR(VLOOKUP(Simulated_Dept_Data[[#This Row],[ProfileID]],Table57[],2,FALSE),"NO PROFILE")</f>
        <v>NO PROFILE</v>
      </c>
      <c r="H408">
        <v>1720.76</v>
      </c>
      <c r="I408">
        <v>1813</v>
      </c>
    </row>
    <row r="409" spans="1:9" x14ac:dyDescent="0.25">
      <c r="A409" t="s">
        <v>10</v>
      </c>
      <c r="B409" t="str">
        <f>VLOOKUP(Simulated_Dept_Data[[#This Row],[DepartmentID]],Table578[],2,FALSE)</f>
        <v>Formalwear</v>
      </c>
      <c r="C409">
        <v>2023</v>
      </c>
      <c r="D409">
        <v>4</v>
      </c>
      <c r="E409" t="str">
        <f>VLOOKUP(Simulated_Dept_Data[[#This Row],[SegmentID]],Table5[],2,FALSE)</f>
        <v>Infrequent Customers</v>
      </c>
      <c r="F409">
        <v>1</v>
      </c>
      <c r="G409" t="str">
        <f>IFERROR(VLOOKUP(Simulated_Dept_Data[[#This Row],[ProfileID]],Table57[],2,FALSE),"NO PROFILE")</f>
        <v>City Slickers</v>
      </c>
      <c r="H409">
        <v>6921.53</v>
      </c>
      <c r="I409">
        <v>3636</v>
      </c>
    </row>
    <row r="410" spans="1:9" x14ac:dyDescent="0.25">
      <c r="A410" t="s">
        <v>10</v>
      </c>
      <c r="B410" t="str">
        <f>VLOOKUP(Simulated_Dept_Data[[#This Row],[DepartmentID]],Table578[],2,FALSE)</f>
        <v>Formalwear</v>
      </c>
      <c r="C410">
        <v>2023</v>
      </c>
      <c r="D410">
        <v>4</v>
      </c>
      <c r="E410" t="str">
        <f>VLOOKUP(Simulated_Dept_Data[[#This Row],[SegmentID]],Table5[],2,FALSE)</f>
        <v>Infrequent Customers</v>
      </c>
      <c r="F410">
        <v>2</v>
      </c>
      <c r="G410" t="str">
        <f>IFERROR(VLOOKUP(Simulated_Dept_Data[[#This Row],[ProfileID]],Table57[],2,FALSE),"NO PROFILE")</f>
        <v>Rich &amp; Richer</v>
      </c>
      <c r="H410">
        <v>161.44999999999999</v>
      </c>
      <c r="I410">
        <v>555</v>
      </c>
    </row>
    <row r="411" spans="1:9" x14ac:dyDescent="0.25">
      <c r="A411" t="s">
        <v>10</v>
      </c>
      <c r="B411" t="str">
        <f>VLOOKUP(Simulated_Dept_Data[[#This Row],[DepartmentID]],Table578[],2,FALSE)</f>
        <v>Formalwear</v>
      </c>
      <c r="C411">
        <v>2023</v>
      </c>
      <c r="D411">
        <v>4</v>
      </c>
      <c r="E411" t="str">
        <f>VLOOKUP(Simulated_Dept_Data[[#This Row],[SegmentID]],Table5[],2,FALSE)</f>
        <v>Infrequent Customers</v>
      </c>
      <c r="F411">
        <v>3</v>
      </c>
      <c r="G411" t="str">
        <f>IFERROR(VLOOKUP(Simulated_Dept_Data[[#This Row],[ProfileID]],Table57[],2,FALSE),"NO PROFILE")</f>
        <v>Mr. &amp; Mrs. Smiths</v>
      </c>
      <c r="H411">
        <v>1365.15</v>
      </c>
      <c r="I411">
        <v>1615</v>
      </c>
    </row>
    <row r="412" spans="1:9" x14ac:dyDescent="0.25">
      <c r="A412" t="s">
        <v>10</v>
      </c>
      <c r="B412" t="str">
        <f>VLOOKUP(Simulated_Dept_Data[[#This Row],[DepartmentID]],Table578[],2,FALSE)</f>
        <v>Formalwear</v>
      </c>
      <c r="C412">
        <v>2023</v>
      </c>
      <c r="D412">
        <v>4</v>
      </c>
      <c r="E412" t="str">
        <f>VLOOKUP(Simulated_Dept_Data[[#This Row],[SegmentID]],Table5[],2,FALSE)</f>
        <v>Infrequent Customers</v>
      </c>
      <c r="F412">
        <v>4</v>
      </c>
      <c r="G412" t="str">
        <f>IFERROR(VLOOKUP(Simulated_Dept_Data[[#This Row],[ProfileID]],Table57[],2,FALSE),"NO PROFILE")</f>
        <v>Blue Collar Royalty</v>
      </c>
      <c r="H412">
        <v>6453.98</v>
      </c>
      <c r="I412">
        <v>3511</v>
      </c>
    </row>
    <row r="413" spans="1:9" x14ac:dyDescent="0.25">
      <c r="A413" t="s">
        <v>10</v>
      </c>
      <c r="B413" t="str">
        <f>VLOOKUP(Simulated_Dept_Data[[#This Row],[DepartmentID]],Table578[],2,FALSE)</f>
        <v>Formalwear</v>
      </c>
      <c r="C413">
        <v>2023</v>
      </c>
      <c r="D413">
        <v>4</v>
      </c>
      <c r="E413" t="str">
        <f>VLOOKUP(Simulated_Dept_Data[[#This Row],[SegmentID]],Table5[],2,FALSE)</f>
        <v>Infrequent Customers</v>
      </c>
      <c r="F413">
        <v>5</v>
      </c>
      <c r="G413" t="str">
        <f>IFERROR(VLOOKUP(Simulated_Dept_Data[[#This Row],[ProfileID]],Table57[],2,FALSE),"NO PROFILE")</f>
        <v>Pinched Pockets</v>
      </c>
      <c r="H413">
        <v>13.74</v>
      </c>
      <c r="I413">
        <v>162</v>
      </c>
    </row>
    <row r="414" spans="1:9" x14ac:dyDescent="0.25">
      <c r="A414" t="s">
        <v>10</v>
      </c>
      <c r="B414" t="str">
        <f>VLOOKUP(Simulated_Dept_Data[[#This Row],[DepartmentID]],Table578[],2,FALSE)</f>
        <v>Formalwear</v>
      </c>
      <c r="C414">
        <v>2023</v>
      </c>
      <c r="D414">
        <v>4</v>
      </c>
      <c r="E414" t="str">
        <f>VLOOKUP(Simulated_Dept_Data[[#This Row],[SegmentID]],Table5[],2,FALSE)</f>
        <v>Infrequent Customers</v>
      </c>
      <c r="F414">
        <v>6</v>
      </c>
      <c r="G414" t="str">
        <f>IFERROR(VLOOKUP(Simulated_Dept_Data[[#This Row],[ProfileID]],Table57[],2,FALSE),"NO PROFILE")</f>
        <v>Normal Families</v>
      </c>
      <c r="H414">
        <v>693.92</v>
      </c>
      <c r="I414">
        <v>1151</v>
      </c>
    </row>
    <row r="415" spans="1:9" x14ac:dyDescent="0.25">
      <c r="A415" t="s">
        <v>10</v>
      </c>
      <c r="B415" t="str">
        <f>VLOOKUP(Simulated_Dept_Data[[#This Row],[DepartmentID]],Table578[],2,FALSE)</f>
        <v>Formalwear</v>
      </c>
      <c r="C415">
        <v>2023</v>
      </c>
      <c r="D415">
        <v>5</v>
      </c>
      <c r="E415" t="str">
        <f>VLOOKUP(Simulated_Dept_Data[[#This Row],[SegmentID]],Table5[],2,FALSE)</f>
        <v>New Customers</v>
      </c>
      <c r="G415" t="str">
        <f>IFERROR(VLOOKUP(Simulated_Dept_Data[[#This Row],[ProfileID]],Table57[],2,FALSE),"NO PROFILE")</f>
        <v>NO PROFILE</v>
      </c>
      <c r="H415">
        <v>13912.77</v>
      </c>
      <c r="I415">
        <v>5150</v>
      </c>
    </row>
    <row r="416" spans="1:9" x14ac:dyDescent="0.25">
      <c r="A416" t="s">
        <v>10</v>
      </c>
      <c r="B416" t="str">
        <f>VLOOKUP(Simulated_Dept_Data[[#This Row],[DepartmentID]],Table578[],2,FALSE)</f>
        <v>Formalwear</v>
      </c>
      <c r="C416">
        <v>2023</v>
      </c>
      <c r="D416">
        <v>5</v>
      </c>
      <c r="E416" t="str">
        <f>VLOOKUP(Simulated_Dept_Data[[#This Row],[SegmentID]],Table5[],2,FALSE)</f>
        <v>New Customers</v>
      </c>
      <c r="F416">
        <v>1</v>
      </c>
      <c r="G416" t="str">
        <f>IFERROR(VLOOKUP(Simulated_Dept_Data[[#This Row],[ProfileID]],Table57[],2,FALSE),"NO PROFILE")</f>
        <v>City Slickers</v>
      </c>
      <c r="H416">
        <v>4691.63</v>
      </c>
      <c r="I416">
        <v>2990</v>
      </c>
    </row>
    <row r="417" spans="1:9" x14ac:dyDescent="0.25">
      <c r="A417" t="s">
        <v>10</v>
      </c>
      <c r="B417" t="str">
        <f>VLOOKUP(Simulated_Dept_Data[[#This Row],[DepartmentID]],Table578[],2,FALSE)</f>
        <v>Formalwear</v>
      </c>
      <c r="C417">
        <v>2023</v>
      </c>
      <c r="D417">
        <v>5</v>
      </c>
      <c r="E417" t="str">
        <f>VLOOKUP(Simulated_Dept_Data[[#This Row],[SegmentID]],Table5[],2,FALSE)</f>
        <v>New Customers</v>
      </c>
      <c r="F417">
        <v>2</v>
      </c>
      <c r="G417" t="str">
        <f>IFERROR(VLOOKUP(Simulated_Dept_Data[[#This Row],[ProfileID]],Table57[],2,FALSE),"NO PROFILE")</f>
        <v>Rich &amp; Richer</v>
      </c>
      <c r="H417">
        <v>10083.64</v>
      </c>
      <c r="I417">
        <v>4384</v>
      </c>
    </row>
    <row r="418" spans="1:9" x14ac:dyDescent="0.25">
      <c r="A418" t="s">
        <v>10</v>
      </c>
      <c r="B418" t="str">
        <f>VLOOKUP(Simulated_Dept_Data[[#This Row],[DepartmentID]],Table578[],2,FALSE)</f>
        <v>Formalwear</v>
      </c>
      <c r="C418">
        <v>2023</v>
      </c>
      <c r="D418">
        <v>5</v>
      </c>
      <c r="E418" t="str">
        <f>VLOOKUP(Simulated_Dept_Data[[#This Row],[SegmentID]],Table5[],2,FALSE)</f>
        <v>New Customers</v>
      </c>
      <c r="F418">
        <v>3</v>
      </c>
      <c r="G418" t="str">
        <f>IFERROR(VLOOKUP(Simulated_Dept_Data[[#This Row],[ProfileID]],Table57[],2,FALSE),"NO PROFILE")</f>
        <v>Mr. &amp; Mrs. Smiths</v>
      </c>
      <c r="H418">
        <v>15425.42</v>
      </c>
      <c r="I418">
        <v>5422</v>
      </c>
    </row>
    <row r="419" spans="1:9" x14ac:dyDescent="0.25">
      <c r="A419" t="s">
        <v>10</v>
      </c>
      <c r="B419" t="str">
        <f>VLOOKUP(Simulated_Dept_Data[[#This Row],[DepartmentID]],Table578[],2,FALSE)</f>
        <v>Formalwear</v>
      </c>
      <c r="C419">
        <v>2023</v>
      </c>
      <c r="D419">
        <v>5</v>
      </c>
      <c r="E419" t="str">
        <f>VLOOKUP(Simulated_Dept_Data[[#This Row],[SegmentID]],Table5[],2,FALSE)</f>
        <v>New Customers</v>
      </c>
      <c r="F419">
        <v>4</v>
      </c>
      <c r="G419" t="str">
        <f>IFERROR(VLOOKUP(Simulated_Dept_Data[[#This Row],[ProfileID]],Table57[],2,FALSE),"NO PROFILE")</f>
        <v>Blue Collar Royalty</v>
      </c>
      <c r="H419">
        <v>19.23</v>
      </c>
      <c r="I419">
        <v>191</v>
      </c>
    </row>
    <row r="420" spans="1:9" x14ac:dyDescent="0.25">
      <c r="A420" t="s">
        <v>10</v>
      </c>
      <c r="B420" t="str">
        <f>VLOOKUP(Simulated_Dept_Data[[#This Row],[DepartmentID]],Table578[],2,FALSE)</f>
        <v>Formalwear</v>
      </c>
      <c r="C420">
        <v>2023</v>
      </c>
      <c r="D420">
        <v>5</v>
      </c>
      <c r="E420" t="str">
        <f>VLOOKUP(Simulated_Dept_Data[[#This Row],[SegmentID]],Table5[],2,FALSE)</f>
        <v>New Customers</v>
      </c>
      <c r="F420">
        <v>5</v>
      </c>
      <c r="G420" t="str">
        <f>IFERROR(VLOOKUP(Simulated_Dept_Data[[#This Row],[ProfileID]],Table57[],2,FALSE),"NO PROFILE")</f>
        <v>Pinched Pockets</v>
      </c>
      <c r="H420">
        <v>23.45</v>
      </c>
      <c r="I420">
        <v>211</v>
      </c>
    </row>
    <row r="421" spans="1:9" x14ac:dyDescent="0.25">
      <c r="A421" t="s">
        <v>10</v>
      </c>
      <c r="B421" t="str">
        <f>VLOOKUP(Simulated_Dept_Data[[#This Row],[DepartmentID]],Table578[],2,FALSE)</f>
        <v>Formalwear</v>
      </c>
      <c r="C421">
        <v>2023</v>
      </c>
      <c r="D421">
        <v>5</v>
      </c>
      <c r="E421" t="str">
        <f>VLOOKUP(Simulated_Dept_Data[[#This Row],[SegmentID]],Table5[],2,FALSE)</f>
        <v>New Customers</v>
      </c>
      <c r="F421">
        <v>6</v>
      </c>
      <c r="G421" t="str">
        <f>IFERROR(VLOOKUP(Simulated_Dept_Data[[#This Row],[ProfileID]],Table57[],2,FALSE),"NO PROFILE")</f>
        <v>Normal Families</v>
      </c>
      <c r="H421">
        <v>117.12</v>
      </c>
      <c r="I421">
        <v>472</v>
      </c>
    </row>
    <row r="422" spans="1:9" x14ac:dyDescent="0.25">
      <c r="A422" t="s">
        <v>11</v>
      </c>
      <c r="B422" t="str">
        <f>VLOOKUP(Simulated_Dept_Data[[#This Row],[DepartmentID]],Table578[],2,FALSE)</f>
        <v>Beachwear</v>
      </c>
      <c r="C422">
        <v>2022</v>
      </c>
      <c r="D422">
        <v>1</v>
      </c>
      <c r="E422" t="str">
        <f>VLOOKUP(Simulated_Dept_Data[[#This Row],[SegmentID]],Table5[],2,FALSE)</f>
        <v>Elite Customers</v>
      </c>
      <c r="G422" t="str">
        <f>IFERROR(VLOOKUP(Simulated_Dept_Data[[#This Row],[ProfileID]],Table57[],2,FALSE),"NO PROFILE")</f>
        <v>NO PROFILE</v>
      </c>
      <c r="H422">
        <v>5441.55</v>
      </c>
      <c r="I422">
        <v>1318</v>
      </c>
    </row>
    <row r="423" spans="1:9" x14ac:dyDescent="0.25">
      <c r="A423" t="s">
        <v>11</v>
      </c>
      <c r="B423" t="str">
        <f>VLOOKUP(Simulated_Dept_Data[[#This Row],[DepartmentID]],Table578[],2,FALSE)</f>
        <v>Beachwear</v>
      </c>
      <c r="C423">
        <v>2022</v>
      </c>
      <c r="D423">
        <v>1</v>
      </c>
      <c r="E423" t="str">
        <f>VLOOKUP(Simulated_Dept_Data[[#This Row],[SegmentID]],Table5[],2,FALSE)</f>
        <v>Elite Customers</v>
      </c>
      <c r="F423">
        <v>1</v>
      </c>
      <c r="G423" t="str">
        <f>IFERROR(VLOOKUP(Simulated_Dept_Data[[#This Row],[ProfileID]],Table57[],2,FALSE),"NO PROFILE")</f>
        <v>City Slickers</v>
      </c>
      <c r="H423">
        <v>17147.82</v>
      </c>
      <c r="I423">
        <v>2339</v>
      </c>
    </row>
    <row r="424" spans="1:9" x14ac:dyDescent="0.25">
      <c r="A424" t="s">
        <v>11</v>
      </c>
      <c r="B424" t="str">
        <f>VLOOKUP(Simulated_Dept_Data[[#This Row],[DepartmentID]],Table578[],2,FALSE)</f>
        <v>Beachwear</v>
      </c>
      <c r="C424">
        <v>2022</v>
      </c>
      <c r="D424">
        <v>1</v>
      </c>
      <c r="E424" t="str">
        <f>VLOOKUP(Simulated_Dept_Data[[#This Row],[SegmentID]],Table5[],2,FALSE)</f>
        <v>Elite Customers</v>
      </c>
      <c r="F424">
        <v>2</v>
      </c>
      <c r="G424" t="str">
        <f>IFERROR(VLOOKUP(Simulated_Dept_Data[[#This Row],[ProfileID]],Table57[],2,FALSE),"NO PROFILE")</f>
        <v>Rich &amp; Richer</v>
      </c>
      <c r="H424">
        <v>19501.810000000001</v>
      </c>
      <c r="I424">
        <v>2494</v>
      </c>
    </row>
    <row r="425" spans="1:9" x14ac:dyDescent="0.25">
      <c r="A425" t="s">
        <v>11</v>
      </c>
      <c r="B425" t="str">
        <f>VLOOKUP(Simulated_Dept_Data[[#This Row],[DepartmentID]],Table578[],2,FALSE)</f>
        <v>Beachwear</v>
      </c>
      <c r="C425">
        <v>2022</v>
      </c>
      <c r="D425">
        <v>1</v>
      </c>
      <c r="E425" t="str">
        <f>VLOOKUP(Simulated_Dept_Data[[#This Row],[SegmentID]],Table5[],2,FALSE)</f>
        <v>Elite Customers</v>
      </c>
      <c r="F425">
        <v>3</v>
      </c>
      <c r="G425" t="str">
        <f>IFERROR(VLOOKUP(Simulated_Dept_Data[[#This Row],[ProfileID]],Table57[],2,FALSE),"NO PROFILE")</f>
        <v>Mr. &amp; Mrs. Smiths</v>
      </c>
      <c r="H425">
        <v>19947.18</v>
      </c>
      <c r="I425">
        <v>2523</v>
      </c>
    </row>
    <row r="426" spans="1:9" x14ac:dyDescent="0.25">
      <c r="A426" t="s">
        <v>11</v>
      </c>
      <c r="B426" t="str">
        <f>VLOOKUP(Simulated_Dept_Data[[#This Row],[DepartmentID]],Table578[],2,FALSE)</f>
        <v>Beachwear</v>
      </c>
      <c r="C426">
        <v>2022</v>
      </c>
      <c r="D426">
        <v>1</v>
      </c>
      <c r="E426" t="str">
        <f>VLOOKUP(Simulated_Dept_Data[[#This Row],[SegmentID]],Table5[],2,FALSE)</f>
        <v>Elite Customers</v>
      </c>
      <c r="F426">
        <v>4</v>
      </c>
      <c r="G426" t="str">
        <f>IFERROR(VLOOKUP(Simulated_Dept_Data[[#This Row],[ProfileID]],Table57[],2,FALSE),"NO PROFILE")</f>
        <v>Blue Collar Royalty</v>
      </c>
      <c r="H426">
        <v>5458.02</v>
      </c>
      <c r="I426">
        <v>1320</v>
      </c>
    </row>
    <row r="427" spans="1:9" x14ac:dyDescent="0.25">
      <c r="A427" t="s">
        <v>11</v>
      </c>
      <c r="B427" t="str">
        <f>VLOOKUP(Simulated_Dept_Data[[#This Row],[DepartmentID]],Table578[],2,FALSE)</f>
        <v>Beachwear</v>
      </c>
      <c r="C427">
        <v>2022</v>
      </c>
      <c r="D427">
        <v>1</v>
      </c>
      <c r="E427" t="str">
        <f>VLOOKUP(Simulated_Dept_Data[[#This Row],[SegmentID]],Table5[],2,FALSE)</f>
        <v>Elite Customers</v>
      </c>
      <c r="F427">
        <v>5</v>
      </c>
      <c r="G427" t="str">
        <f>IFERROR(VLOOKUP(Simulated_Dept_Data[[#This Row],[ProfileID]],Table57[],2,FALSE),"NO PROFILE")</f>
        <v>Pinched Pockets</v>
      </c>
      <c r="H427">
        <v>26429.86</v>
      </c>
      <c r="I427">
        <v>2904</v>
      </c>
    </row>
    <row r="428" spans="1:9" x14ac:dyDescent="0.25">
      <c r="A428" t="s">
        <v>11</v>
      </c>
      <c r="B428" t="str">
        <f>VLOOKUP(Simulated_Dept_Data[[#This Row],[DepartmentID]],Table578[],2,FALSE)</f>
        <v>Beachwear</v>
      </c>
      <c r="C428">
        <v>2022</v>
      </c>
      <c r="D428">
        <v>1</v>
      </c>
      <c r="E428" t="str">
        <f>VLOOKUP(Simulated_Dept_Data[[#This Row],[SegmentID]],Table5[],2,FALSE)</f>
        <v>Elite Customers</v>
      </c>
      <c r="F428">
        <v>6</v>
      </c>
      <c r="G428" t="str">
        <f>IFERROR(VLOOKUP(Simulated_Dept_Data[[#This Row],[ProfileID]],Table57[],2,FALSE),"NO PROFILE")</f>
        <v>Normal Families</v>
      </c>
      <c r="H428">
        <v>4152.43</v>
      </c>
      <c r="I428">
        <v>1151</v>
      </c>
    </row>
    <row r="429" spans="1:9" x14ac:dyDescent="0.25">
      <c r="A429" t="s">
        <v>11</v>
      </c>
      <c r="B429" t="str">
        <f>VLOOKUP(Simulated_Dept_Data[[#This Row],[DepartmentID]],Table578[],2,FALSE)</f>
        <v>Beachwear</v>
      </c>
      <c r="C429">
        <v>2022</v>
      </c>
      <c r="D429">
        <v>2</v>
      </c>
      <c r="E429" t="str">
        <f>VLOOKUP(Simulated_Dept_Data[[#This Row],[SegmentID]],Table5[],2,FALSE)</f>
        <v>Core Customers</v>
      </c>
      <c r="G429" t="str">
        <f>IFERROR(VLOOKUP(Simulated_Dept_Data[[#This Row],[ProfileID]],Table57[],2,FALSE),"NO PROFILE")</f>
        <v>NO PROFILE</v>
      </c>
      <c r="H429">
        <v>23106.080000000002</v>
      </c>
      <c r="I429">
        <v>2633</v>
      </c>
    </row>
    <row r="430" spans="1:9" x14ac:dyDescent="0.25">
      <c r="A430" t="s">
        <v>11</v>
      </c>
      <c r="B430" t="str">
        <f>VLOOKUP(Simulated_Dept_Data[[#This Row],[DepartmentID]],Table578[],2,FALSE)</f>
        <v>Beachwear</v>
      </c>
      <c r="C430">
        <v>2022</v>
      </c>
      <c r="D430">
        <v>2</v>
      </c>
      <c r="E430" t="str">
        <f>VLOOKUP(Simulated_Dept_Data[[#This Row],[SegmentID]],Table5[],2,FALSE)</f>
        <v>Core Customers</v>
      </c>
      <c r="F430">
        <v>1</v>
      </c>
      <c r="G430" t="str">
        <f>IFERROR(VLOOKUP(Simulated_Dept_Data[[#This Row],[ProfileID]],Table57[],2,FALSE),"NO PROFILE")</f>
        <v>City Slickers</v>
      </c>
      <c r="H430">
        <v>5527.84</v>
      </c>
      <c r="I430">
        <v>1288</v>
      </c>
    </row>
    <row r="431" spans="1:9" x14ac:dyDescent="0.25">
      <c r="A431" t="s">
        <v>11</v>
      </c>
      <c r="B431" t="str">
        <f>VLOOKUP(Simulated_Dept_Data[[#This Row],[DepartmentID]],Table578[],2,FALSE)</f>
        <v>Beachwear</v>
      </c>
      <c r="C431">
        <v>2022</v>
      </c>
      <c r="D431">
        <v>2</v>
      </c>
      <c r="E431" t="str">
        <f>VLOOKUP(Simulated_Dept_Data[[#This Row],[SegmentID]],Table5[],2,FALSE)</f>
        <v>Core Customers</v>
      </c>
      <c r="F431">
        <v>2</v>
      </c>
      <c r="G431" t="str">
        <f>IFERROR(VLOOKUP(Simulated_Dept_Data[[#This Row],[ProfileID]],Table57[],2,FALSE),"NO PROFILE")</f>
        <v>Rich &amp; Richer</v>
      </c>
      <c r="H431">
        <v>8837.82</v>
      </c>
      <c r="I431">
        <v>1628</v>
      </c>
    </row>
    <row r="432" spans="1:9" x14ac:dyDescent="0.25">
      <c r="A432" t="s">
        <v>11</v>
      </c>
      <c r="B432" t="str">
        <f>VLOOKUP(Simulated_Dept_Data[[#This Row],[DepartmentID]],Table578[],2,FALSE)</f>
        <v>Beachwear</v>
      </c>
      <c r="C432">
        <v>2022</v>
      </c>
      <c r="D432">
        <v>2</v>
      </c>
      <c r="E432" t="str">
        <f>VLOOKUP(Simulated_Dept_Data[[#This Row],[SegmentID]],Table5[],2,FALSE)</f>
        <v>Core Customers</v>
      </c>
      <c r="F432">
        <v>3</v>
      </c>
      <c r="G432" t="str">
        <f>IFERROR(VLOOKUP(Simulated_Dept_Data[[#This Row],[ProfileID]],Table57[],2,FALSE),"NO PROFILE")</f>
        <v>Mr. &amp; Mrs. Smiths</v>
      </c>
      <c r="H432">
        <v>19342.89</v>
      </c>
      <c r="I432">
        <v>2409</v>
      </c>
    </row>
    <row r="433" spans="1:9" x14ac:dyDescent="0.25">
      <c r="A433" t="s">
        <v>11</v>
      </c>
      <c r="B433" t="str">
        <f>VLOOKUP(Simulated_Dept_Data[[#This Row],[DepartmentID]],Table578[],2,FALSE)</f>
        <v>Beachwear</v>
      </c>
      <c r="C433">
        <v>2022</v>
      </c>
      <c r="D433">
        <v>2</v>
      </c>
      <c r="E433" t="str">
        <f>VLOOKUP(Simulated_Dept_Data[[#This Row],[SegmentID]],Table5[],2,FALSE)</f>
        <v>Core Customers</v>
      </c>
      <c r="F433">
        <v>4</v>
      </c>
      <c r="G433" t="str">
        <f>IFERROR(VLOOKUP(Simulated_Dept_Data[[#This Row],[ProfileID]],Table57[],2,FALSE),"NO PROFILE")</f>
        <v>Blue Collar Royalty</v>
      </c>
      <c r="H433">
        <v>13.61</v>
      </c>
      <c r="I433">
        <v>64</v>
      </c>
    </row>
    <row r="434" spans="1:9" x14ac:dyDescent="0.25">
      <c r="A434" t="s">
        <v>11</v>
      </c>
      <c r="B434" t="str">
        <f>VLOOKUP(Simulated_Dept_Data[[#This Row],[DepartmentID]],Table578[],2,FALSE)</f>
        <v>Beachwear</v>
      </c>
      <c r="C434">
        <v>2022</v>
      </c>
      <c r="D434">
        <v>2</v>
      </c>
      <c r="E434" t="str">
        <f>VLOOKUP(Simulated_Dept_Data[[#This Row],[SegmentID]],Table5[],2,FALSE)</f>
        <v>Core Customers</v>
      </c>
      <c r="F434">
        <v>5</v>
      </c>
      <c r="G434" t="str">
        <f>IFERROR(VLOOKUP(Simulated_Dept_Data[[#This Row],[ProfileID]],Table57[],2,FALSE),"NO PROFILE")</f>
        <v>Pinched Pockets</v>
      </c>
      <c r="H434">
        <v>4018</v>
      </c>
      <c r="I434">
        <v>1098</v>
      </c>
    </row>
    <row r="435" spans="1:9" x14ac:dyDescent="0.25">
      <c r="A435" t="s">
        <v>11</v>
      </c>
      <c r="B435" t="str">
        <f>VLOOKUP(Simulated_Dept_Data[[#This Row],[DepartmentID]],Table578[],2,FALSE)</f>
        <v>Beachwear</v>
      </c>
      <c r="C435">
        <v>2022</v>
      </c>
      <c r="D435">
        <v>2</v>
      </c>
      <c r="E435" t="str">
        <f>VLOOKUP(Simulated_Dept_Data[[#This Row],[SegmentID]],Table5[],2,FALSE)</f>
        <v>Core Customers</v>
      </c>
      <c r="F435">
        <v>6</v>
      </c>
      <c r="G435" t="str">
        <f>IFERROR(VLOOKUP(Simulated_Dept_Data[[#This Row],[ProfileID]],Table57[],2,FALSE),"NO PROFILE")</f>
        <v>Normal Families</v>
      </c>
      <c r="H435">
        <v>2418.34</v>
      </c>
      <c r="I435">
        <v>852</v>
      </c>
    </row>
    <row r="436" spans="1:9" x14ac:dyDescent="0.25">
      <c r="A436" t="s">
        <v>11</v>
      </c>
      <c r="B436" t="str">
        <f>VLOOKUP(Simulated_Dept_Data[[#This Row],[DepartmentID]],Table578[],2,FALSE)</f>
        <v>Beachwear</v>
      </c>
      <c r="C436">
        <v>2022</v>
      </c>
      <c r="D436">
        <v>3</v>
      </c>
      <c r="E436" t="str">
        <f>VLOOKUP(Simulated_Dept_Data[[#This Row],[SegmentID]],Table5[],2,FALSE)</f>
        <v>Power Shoppers</v>
      </c>
      <c r="G436" t="str">
        <f>IFERROR(VLOOKUP(Simulated_Dept_Data[[#This Row],[ProfileID]],Table57[],2,FALSE),"NO PROFILE")</f>
        <v>NO PROFILE</v>
      </c>
      <c r="H436">
        <v>4089.11</v>
      </c>
      <c r="I436">
        <v>1090</v>
      </c>
    </row>
    <row r="437" spans="1:9" x14ac:dyDescent="0.25">
      <c r="A437" t="s">
        <v>11</v>
      </c>
      <c r="B437" t="str">
        <f>VLOOKUP(Simulated_Dept_Data[[#This Row],[DepartmentID]],Table578[],2,FALSE)</f>
        <v>Beachwear</v>
      </c>
      <c r="C437">
        <v>2022</v>
      </c>
      <c r="D437">
        <v>3</v>
      </c>
      <c r="E437" t="str">
        <f>VLOOKUP(Simulated_Dept_Data[[#This Row],[SegmentID]],Table5[],2,FALSE)</f>
        <v>Power Shoppers</v>
      </c>
      <c r="F437">
        <v>1</v>
      </c>
      <c r="G437" t="str">
        <f>IFERROR(VLOOKUP(Simulated_Dept_Data[[#This Row],[ProfileID]],Table57[],2,FALSE),"NO PROFILE")</f>
        <v>City Slickers</v>
      </c>
      <c r="H437">
        <v>19582.22</v>
      </c>
      <c r="I437">
        <v>2384</v>
      </c>
    </row>
    <row r="438" spans="1:9" x14ac:dyDescent="0.25">
      <c r="A438" t="s">
        <v>11</v>
      </c>
      <c r="B438" t="str">
        <f>VLOOKUP(Simulated_Dept_Data[[#This Row],[DepartmentID]],Table578[],2,FALSE)</f>
        <v>Beachwear</v>
      </c>
      <c r="C438">
        <v>2022</v>
      </c>
      <c r="D438">
        <v>3</v>
      </c>
      <c r="E438" t="str">
        <f>VLOOKUP(Simulated_Dept_Data[[#This Row],[SegmentID]],Table5[],2,FALSE)</f>
        <v>Power Shoppers</v>
      </c>
      <c r="F438">
        <v>2</v>
      </c>
      <c r="G438" t="str">
        <f>IFERROR(VLOOKUP(Simulated_Dept_Data[[#This Row],[ProfileID]],Table57[],2,FALSE),"NO PROFILE")</f>
        <v>Rich &amp; Richer</v>
      </c>
      <c r="H438">
        <v>2675.39</v>
      </c>
      <c r="I438">
        <v>881</v>
      </c>
    </row>
    <row r="439" spans="1:9" x14ac:dyDescent="0.25">
      <c r="A439" t="s">
        <v>11</v>
      </c>
      <c r="B439" t="str">
        <f>VLOOKUP(Simulated_Dept_Data[[#This Row],[DepartmentID]],Table578[],2,FALSE)</f>
        <v>Beachwear</v>
      </c>
      <c r="C439">
        <v>2022</v>
      </c>
      <c r="D439">
        <v>3</v>
      </c>
      <c r="E439" t="str">
        <f>VLOOKUP(Simulated_Dept_Data[[#This Row],[SegmentID]],Table5[],2,FALSE)</f>
        <v>Power Shoppers</v>
      </c>
      <c r="F439">
        <v>3</v>
      </c>
      <c r="G439" t="str">
        <f>IFERROR(VLOOKUP(Simulated_Dept_Data[[#This Row],[ProfileID]],Table57[],2,FALSE),"NO PROFILE")</f>
        <v>Mr. &amp; Mrs. Smiths</v>
      </c>
      <c r="H439">
        <v>383.52</v>
      </c>
      <c r="I439">
        <v>334</v>
      </c>
    </row>
    <row r="440" spans="1:9" x14ac:dyDescent="0.25">
      <c r="A440" t="s">
        <v>11</v>
      </c>
      <c r="B440" t="str">
        <f>VLOOKUP(Simulated_Dept_Data[[#This Row],[DepartmentID]],Table578[],2,FALSE)</f>
        <v>Beachwear</v>
      </c>
      <c r="C440">
        <v>2022</v>
      </c>
      <c r="D440">
        <v>3</v>
      </c>
      <c r="E440" t="str">
        <f>VLOOKUP(Simulated_Dept_Data[[#This Row],[SegmentID]],Table5[],2,FALSE)</f>
        <v>Power Shoppers</v>
      </c>
      <c r="F440">
        <v>4</v>
      </c>
      <c r="G440" t="str">
        <f>IFERROR(VLOOKUP(Simulated_Dept_Data[[#This Row],[ProfileID]],Table57[],2,FALSE),"NO PROFILE")</f>
        <v>Blue Collar Royalty</v>
      </c>
      <c r="H440">
        <v>11517.57</v>
      </c>
      <c r="I440">
        <v>1829</v>
      </c>
    </row>
    <row r="441" spans="1:9" x14ac:dyDescent="0.25">
      <c r="A441" t="s">
        <v>11</v>
      </c>
      <c r="B441" t="str">
        <f>VLOOKUP(Simulated_Dept_Data[[#This Row],[DepartmentID]],Table578[],2,FALSE)</f>
        <v>Beachwear</v>
      </c>
      <c r="C441">
        <v>2022</v>
      </c>
      <c r="D441">
        <v>3</v>
      </c>
      <c r="E441" t="str">
        <f>VLOOKUP(Simulated_Dept_Data[[#This Row],[SegmentID]],Table5[],2,FALSE)</f>
        <v>Power Shoppers</v>
      </c>
      <c r="F441">
        <v>5</v>
      </c>
      <c r="G441" t="str">
        <f>IFERROR(VLOOKUP(Simulated_Dept_Data[[#This Row],[ProfileID]],Table57[],2,FALSE),"NO PROFILE")</f>
        <v>Pinched Pockets</v>
      </c>
      <c r="H441">
        <v>4155.3999999999996</v>
      </c>
      <c r="I441">
        <v>1098</v>
      </c>
    </row>
    <row r="442" spans="1:9" x14ac:dyDescent="0.25">
      <c r="A442" t="s">
        <v>11</v>
      </c>
      <c r="B442" t="str">
        <f>VLOOKUP(Simulated_Dept_Data[[#This Row],[DepartmentID]],Table578[],2,FALSE)</f>
        <v>Beachwear</v>
      </c>
      <c r="C442">
        <v>2022</v>
      </c>
      <c r="D442">
        <v>3</v>
      </c>
      <c r="E442" t="str">
        <f>VLOOKUP(Simulated_Dept_Data[[#This Row],[SegmentID]],Table5[],2,FALSE)</f>
        <v>Power Shoppers</v>
      </c>
      <c r="F442">
        <v>6</v>
      </c>
      <c r="G442" t="str">
        <f>IFERROR(VLOOKUP(Simulated_Dept_Data[[#This Row],[ProfileID]],Table57[],2,FALSE),"NO PROFILE")</f>
        <v>Normal Families</v>
      </c>
      <c r="H442">
        <v>120.43</v>
      </c>
      <c r="I442">
        <v>187</v>
      </c>
    </row>
    <row r="443" spans="1:9" x14ac:dyDescent="0.25">
      <c r="A443" t="s">
        <v>11</v>
      </c>
      <c r="B443" t="str">
        <f>VLOOKUP(Simulated_Dept_Data[[#This Row],[DepartmentID]],Table578[],2,FALSE)</f>
        <v>Beachwear</v>
      </c>
      <c r="C443">
        <v>2022</v>
      </c>
      <c r="D443">
        <v>4</v>
      </c>
      <c r="E443" t="str">
        <f>VLOOKUP(Simulated_Dept_Data[[#This Row],[SegmentID]],Table5[],2,FALSE)</f>
        <v>Infrequent Customers</v>
      </c>
      <c r="G443" t="str">
        <f>IFERROR(VLOOKUP(Simulated_Dept_Data[[#This Row],[ProfileID]],Table57[],2,FALSE),"NO PROFILE")</f>
        <v>NO PROFILE</v>
      </c>
      <c r="H443">
        <v>5177.9399999999996</v>
      </c>
      <c r="I443">
        <v>1228</v>
      </c>
    </row>
    <row r="444" spans="1:9" x14ac:dyDescent="0.25">
      <c r="A444" t="s">
        <v>11</v>
      </c>
      <c r="B444" t="str">
        <f>VLOOKUP(Simulated_Dept_Data[[#This Row],[DepartmentID]],Table578[],2,FALSE)</f>
        <v>Beachwear</v>
      </c>
      <c r="C444">
        <v>2022</v>
      </c>
      <c r="D444">
        <v>4</v>
      </c>
      <c r="E444" t="str">
        <f>VLOOKUP(Simulated_Dept_Data[[#This Row],[SegmentID]],Table5[],2,FALSE)</f>
        <v>Infrequent Customers</v>
      </c>
      <c r="F444">
        <v>1</v>
      </c>
      <c r="G444" t="str">
        <f>IFERROR(VLOOKUP(Simulated_Dept_Data[[#This Row],[ProfileID]],Table57[],2,FALSE),"NO PROFILE")</f>
        <v>City Slickers</v>
      </c>
      <c r="H444">
        <v>20827.63</v>
      </c>
      <c r="I444">
        <v>2463</v>
      </c>
    </row>
    <row r="445" spans="1:9" x14ac:dyDescent="0.25">
      <c r="A445" t="s">
        <v>11</v>
      </c>
      <c r="B445" t="str">
        <f>VLOOKUP(Simulated_Dept_Data[[#This Row],[DepartmentID]],Table578[],2,FALSE)</f>
        <v>Beachwear</v>
      </c>
      <c r="C445">
        <v>2022</v>
      </c>
      <c r="D445">
        <v>4</v>
      </c>
      <c r="E445" t="str">
        <f>VLOOKUP(Simulated_Dept_Data[[#This Row],[SegmentID]],Table5[],2,FALSE)</f>
        <v>Infrequent Customers</v>
      </c>
      <c r="F445">
        <v>2</v>
      </c>
      <c r="G445" t="str">
        <f>IFERROR(VLOOKUP(Simulated_Dept_Data[[#This Row],[ProfileID]],Table57[],2,FALSE),"NO PROFILE")</f>
        <v>Rich &amp; Richer</v>
      </c>
      <c r="H445">
        <v>485.83</v>
      </c>
      <c r="I445">
        <v>376</v>
      </c>
    </row>
    <row r="446" spans="1:9" x14ac:dyDescent="0.25">
      <c r="A446" t="s">
        <v>11</v>
      </c>
      <c r="B446" t="str">
        <f>VLOOKUP(Simulated_Dept_Data[[#This Row],[DepartmentID]],Table578[],2,FALSE)</f>
        <v>Beachwear</v>
      </c>
      <c r="C446">
        <v>2022</v>
      </c>
      <c r="D446">
        <v>4</v>
      </c>
      <c r="E446" t="str">
        <f>VLOOKUP(Simulated_Dept_Data[[#This Row],[SegmentID]],Table5[],2,FALSE)</f>
        <v>Infrequent Customers</v>
      </c>
      <c r="F446">
        <v>3</v>
      </c>
      <c r="G446" t="str">
        <f>IFERROR(VLOOKUP(Simulated_Dept_Data[[#This Row],[ProfileID]],Table57[],2,FALSE),"NO PROFILE")</f>
        <v>Mr. &amp; Mrs. Smiths</v>
      </c>
      <c r="H446">
        <v>4107.8900000000003</v>
      </c>
      <c r="I446">
        <v>1094</v>
      </c>
    </row>
    <row r="447" spans="1:9" x14ac:dyDescent="0.25">
      <c r="A447" t="s">
        <v>11</v>
      </c>
      <c r="B447" t="str">
        <f>VLOOKUP(Simulated_Dept_Data[[#This Row],[DepartmentID]],Table578[],2,FALSE)</f>
        <v>Beachwear</v>
      </c>
      <c r="C447">
        <v>2022</v>
      </c>
      <c r="D447">
        <v>4</v>
      </c>
      <c r="E447" t="str">
        <f>VLOOKUP(Simulated_Dept_Data[[#This Row],[SegmentID]],Table5[],2,FALSE)</f>
        <v>Infrequent Customers</v>
      </c>
      <c r="F447">
        <v>4</v>
      </c>
      <c r="G447" t="str">
        <f>IFERROR(VLOOKUP(Simulated_Dept_Data[[#This Row],[ProfileID]],Table57[],2,FALSE),"NO PROFILE")</f>
        <v>Blue Collar Royalty</v>
      </c>
      <c r="H447">
        <v>19420.73</v>
      </c>
      <c r="I447">
        <v>2378</v>
      </c>
    </row>
    <row r="448" spans="1:9" x14ac:dyDescent="0.25">
      <c r="A448" t="s">
        <v>11</v>
      </c>
      <c r="B448" t="str">
        <f>VLOOKUP(Simulated_Dept_Data[[#This Row],[DepartmentID]],Table578[],2,FALSE)</f>
        <v>Beachwear</v>
      </c>
      <c r="C448">
        <v>2022</v>
      </c>
      <c r="D448">
        <v>4</v>
      </c>
      <c r="E448" t="str">
        <f>VLOOKUP(Simulated_Dept_Data[[#This Row],[SegmentID]],Table5[],2,FALSE)</f>
        <v>Infrequent Customers</v>
      </c>
      <c r="F448">
        <v>5</v>
      </c>
      <c r="G448" t="str">
        <f>IFERROR(VLOOKUP(Simulated_Dept_Data[[#This Row],[ProfileID]],Table57[],2,FALSE),"NO PROFILE")</f>
        <v>Pinched Pockets</v>
      </c>
      <c r="H448">
        <v>41.34</v>
      </c>
      <c r="I448">
        <v>110</v>
      </c>
    </row>
    <row r="449" spans="1:9" x14ac:dyDescent="0.25">
      <c r="A449" t="s">
        <v>11</v>
      </c>
      <c r="B449" t="str">
        <f>VLOOKUP(Simulated_Dept_Data[[#This Row],[DepartmentID]],Table578[],2,FALSE)</f>
        <v>Beachwear</v>
      </c>
      <c r="C449">
        <v>2022</v>
      </c>
      <c r="D449">
        <v>4</v>
      </c>
      <c r="E449" t="str">
        <f>VLOOKUP(Simulated_Dept_Data[[#This Row],[SegmentID]],Table5[],2,FALSE)</f>
        <v>Infrequent Customers</v>
      </c>
      <c r="F449">
        <v>6</v>
      </c>
      <c r="G449" t="str">
        <f>IFERROR(VLOOKUP(Simulated_Dept_Data[[#This Row],[ProfileID]],Table57[],2,FALSE),"NO PROFILE")</f>
        <v>Normal Families</v>
      </c>
      <c r="H449">
        <v>2088.0700000000002</v>
      </c>
      <c r="I449">
        <v>780</v>
      </c>
    </row>
    <row r="450" spans="1:9" x14ac:dyDescent="0.25">
      <c r="A450" t="s">
        <v>11</v>
      </c>
      <c r="B450" t="str">
        <f>VLOOKUP(Simulated_Dept_Data[[#This Row],[DepartmentID]],Table578[],2,FALSE)</f>
        <v>Beachwear</v>
      </c>
      <c r="C450">
        <v>2022</v>
      </c>
      <c r="D450">
        <v>5</v>
      </c>
      <c r="E450" t="str">
        <f>VLOOKUP(Simulated_Dept_Data[[#This Row],[SegmentID]],Table5[],2,FALSE)</f>
        <v>New Customers</v>
      </c>
      <c r="G450" t="str">
        <f>IFERROR(VLOOKUP(Simulated_Dept_Data[[#This Row],[ProfileID]],Table57[],2,FALSE),"NO PROFILE")</f>
        <v>NO PROFILE</v>
      </c>
      <c r="H450">
        <v>31489.08</v>
      </c>
      <c r="I450">
        <v>2953</v>
      </c>
    </row>
    <row r="451" spans="1:9" x14ac:dyDescent="0.25">
      <c r="A451" t="s">
        <v>11</v>
      </c>
      <c r="B451" t="str">
        <f>VLOOKUP(Simulated_Dept_Data[[#This Row],[DepartmentID]],Table578[],2,FALSE)</f>
        <v>Beachwear</v>
      </c>
      <c r="C451">
        <v>2022</v>
      </c>
      <c r="D451">
        <v>5</v>
      </c>
      <c r="E451" t="str">
        <f>VLOOKUP(Simulated_Dept_Data[[#This Row],[SegmentID]],Table5[],2,FALSE)</f>
        <v>New Customers</v>
      </c>
      <c r="F451">
        <v>1</v>
      </c>
      <c r="G451" t="str">
        <f>IFERROR(VLOOKUP(Simulated_Dept_Data[[#This Row],[ProfileID]],Table57[],2,FALSE),"NO PROFILE")</f>
        <v>City Slickers</v>
      </c>
      <c r="H451">
        <v>10618.67</v>
      </c>
      <c r="I451">
        <v>1715</v>
      </c>
    </row>
    <row r="452" spans="1:9" x14ac:dyDescent="0.25">
      <c r="A452" t="s">
        <v>11</v>
      </c>
      <c r="B452" t="str">
        <f>VLOOKUP(Simulated_Dept_Data[[#This Row],[DepartmentID]],Table578[],2,FALSE)</f>
        <v>Beachwear</v>
      </c>
      <c r="C452">
        <v>2022</v>
      </c>
      <c r="D452">
        <v>5</v>
      </c>
      <c r="E452" t="str">
        <f>VLOOKUP(Simulated_Dept_Data[[#This Row],[SegmentID]],Table5[],2,FALSE)</f>
        <v>New Customers</v>
      </c>
      <c r="F452">
        <v>2</v>
      </c>
      <c r="G452" t="str">
        <f>IFERROR(VLOOKUP(Simulated_Dept_Data[[#This Row],[ProfileID]],Table57[],2,FALSE),"NO PROFILE")</f>
        <v>Rich &amp; Richer</v>
      </c>
      <c r="H452">
        <v>22822.53</v>
      </c>
      <c r="I452">
        <v>2514</v>
      </c>
    </row>
    <row r="453" spans="1:9" x14ac:dyDescent="0.25">
      <c r="A453" t="s">
        <v>11</v>
      </c>
      <c r="B453" t="str">
        <f>VLOOKUP(Simulated_Dept_Data[[#This Row],[DepartmentID]],Table578[],2,FALSE)</f>
        <v>Beachwear</v>
      </c>
      <c r="C453">
        <v>2022</v>
      </c>
      <c r="D453">
        <v>5</v>
      </c>
      <c r="E453" t="str">
        <f>VLOOKUP(Simulated_Dept_Data[[#This Row],[SegmentID]],Table5[],2,FALSE)</f>
        <v>New Customers</v>
      </c>
      <c r="F453">
        <v>3</v>
      </c>
      <c r="G453" t="str">
        <f>IFERROR(VLOOKUP(Simulated_Dept_Data[[#This Row],[ProfileID]],Table57[],2,FALSE),"NO PROFILE")</f>
        <v>Mr. &amp; Mrs. Smiths</v>
      </c>
      <c r="H453">
        <v>34912.71</v>
      </c>
      <c r="I453">
        <v>3109</v>
      </c>
    </row>
    <row r="454" spans="1:9" x14ac:dyDescent="0.25">
      <c r="A454" t="s">
        <v>11</v>
      </c>
      <c r="B454" t="str">
        <f>VLOOKUP(Simulated_Dept_Data[[#This Row],[DepartmentID]],Table578[],2,FALSE)</f>
        <v>Beachwear</v>
      </c>
      <c r="C454">
        <v>2022</v>
      </c>
      <c r="D454">
        <v>5</v>
      </c>
      <c r="E454" t="str">
        <f>VLOOKUP(Simulated_Dept_Data[[#This Row],[SegmentID]],Table5[],2,FALSE)</f>
        <v>New Customers</v>
      </c>
      <c r="F454">
        <v>4</v>
      </c>
      <c r="G454" t="str">
        <f>IFERROR(VLOOKUP(Simulated_Dept_Data[[#This Row],[ProfileID]],Table57[],2,FALSE),"NO PROFILE")</f>
        <v>Blue Collar Royalty</v>
      </c>
      <c r="H454">
        <v>43.52</v>
      </c>
      <c r="I454">
        <v>110</v>
      </c>
    </row>
    <row r="455" spans="1:9" x14ac:dyDescent="0.25">
      <c r="A455" t="s">
        <v>11</v>
      </c>
      <c r="B455" t="str">
        <f>VLOOKUP(Simulated_Dept_Data[[#This Row],[DepartmentID]],Table578[],2,FALSE)</f>
        <v>Beachwear</v>
      </c>
      <c r="C455">
        <v>2022</v>
      </c>
      <c r="D455">
        <v>5</v>
      </c>
      <c r="E455" t="str">
        <f>VLOOKUP(Simulated_Dept_Data[[#This Row],[SegmentID]],Table5[],2,FALSE)</f>
        <v>New Customers</v>
      </c>
      <c r="F455">
        <v>5</v>
      </c>
      <c r="G455" t="str">
        <f>IFERROR(VLOOKUP(Simulated_Dept_Data[[#This Row],[ProfileID]],Table57[],2,FALSE),"NO PROFILE")</f>
        <v>Pinched Pockets</v>
      </c>
      <c r="H455">
        <v>53.06</v>
      </c>
      <c r="I455">
        <v>121</v>
      </c>
    </row>
    <row r="456" spans="1:9" x14ac:dyDescent="0.25">
      <c r="A456" t="s">
        <v>11</v>
      </c>
      <c r="B456" t="str">
        <f>VLOOKUP(Simulated_Dept_Data[[#This Row],[DepartmentID]],Table578[],2,FALSE)</f>
        <v>Beachwear</v>
      </c>
      <c r="C456">
        <v>2022</v>
      </c>
      <c r="D456">
        <v>5</v>
      </c>
      <c r="E456" t="str">
        <f>VLOOKUP(Simulated_Dept_Data[[#This Row],[SegmentID]],Table5[],2,FALSE)</f>
        <v>New Customers</v>
      </c>
      <c r="F456">
        <v>6</v>
      </c>
      <c r="G456" t="str">
        <f>IFERROR(VLOOKUP(Simulated_Dept_Data[[#This Row],[ProfileID]],Table57[],2,FALSE),"NO PROFILE")</f>
        <v>Normal Families</v>
      </c>
      <c r="H456">
        <v>265.08</v>
      </c>
      <c r="I456">
        <v>271</v>
      </c>
    </row>
    <row r="457" spans="1:9" x14ac:dyDescent="0.25">
      <c r="A457" t="s">
        <v>11</v>
      </c>
      <c r="B457" t="str">
        <f>VLOOKUP(Simulated_Dept_Data[[#This Row],[DepartmentID]],Table578[],2,FALSE)</f>
        <v>Beachwear</v>
      </c>
      <c r="C457">
        <v>2023</v>
      </c>
      <c r="D457">
        <v>1</v>
      </c>
      <c r="E457" t="str">
        <f>VLOOKUP(Simulated_Dept_Data[[#This Row],[SegmentID]],Table5[],2,FALSE)</f>
        <v>Elite Customers</v>
      </c>
      <c r="G457" t="str">
        <f>IFERROR(VLOOKUP(Simulated_Dept_Data[[#This Row],[ProfileID]],Table57[],2,FALSE),"NO PROFILE")</f>
        <v>NO PROFILE</v>
      </c>
      <c r="H457">
        <v>5411.74</v>
      </c>
      <c r="I457">
        <v>1144</v>
      </c>
    </row>
    <row r="458" spans="1:9" x14ac:dyDescent="0.25">
      <c r="A458" t="s">
        <v>11</v>
      </c>
      <c r="B458" t="str">
        <f>VLOOKUP(Simulated_Dept_Data[[#This Row],[DepartmentID]],Table578[],2,FALSE)</f>
        <v>Beachwear</v>
      </c>
      <c r="C458">
        <v>2023</v>
      </c>
      <c r="D458">
        <v>1</v>
      </c>
      <c r="E458" t="str">
        <f>VLOOKUP(Simulated_Dept_Data[[#This Row],[SegmentID]],Table5[],2,FALSE)</f>
        <v>Elite Customers</v>
      </c>
      <c r="F458">
        <v>1</v>
      </c>
      <c r="G458" t="str">
        <f>IFERROR(VLOOKUP(Simulated_Dept_Data[[#This Row],[ProfileID]],Table57[],2,FALSE),"NO PROFILE")</f>
        <v>City Slickers</v>
      </c>
      <c r="H458">
        <v>17053.86</v>
      </c>
      <c r="I458">
        <v>2031</v>
      </c>
    </row>
    <row r="459" spans="1:9" x14ac:dyDescent="0.25">
      <c r="A459" t="s">
        <v>11</v>
      </c>
      <c r="B459" t="str">
        <f>VLOOKUP(Simulated_Dept_Data[[#This Row],[DepartmentID]],Table578[],2,FALSE)</f>
        <v>Beachwear</v>
      </c>
      <c r="C459">
        <v>2023</v>
      </c>
      <c r="D459">
        <v>1</v>
      </c>
      <c r="E459" t="str">
        <f>VLOOKUP(Simulated_Dept_Data[[#This Row],[SegmentID]],Table5[],2,FALSE)</f>
        <v>Elite Customers</v>
      </c>
      <c r="F459">
        <v>2</v>
      </c>
      <c r="G459" t="str">
        <f>IFERROR(VLOOKUP(Simulated_Dept_Data[[#This Row],[ProfileID]],Table57[],2,FALSE),"NO PROFILE")</f>
        <v>Rich &amp; Richer</v>
      </c>
      <c r="H459">
        <v>19394.95</v>
      </c>
      <c r="I459">
        <v>2166</v>
      </c>
    </row>
    <row r="460" spans="1:9" x14ac:dyDescent="0.25">
      <c r="A460" t="s">
        <v>11</v>
      </c>
      <c r="B460" t="str">
        <f>VLOOKUP(Simulated_Dept_Data[[#This Row],[DepartmentID]],Table578[],2,FALSE)</f>
        <v>Beachwear</v>
      </c>
      <c r="C460">
        <v>2023</v>
      </c>
      <c r="D460">
        <v>1</v>
      </c>
      <c r="E460" t="str">
        <f>VLOOKUP(Simulated_Dept_Data[[#This Row],[SegmentID]],Table5[],2,FALSE)</f>
        <v>Elite Customers</v>
      </c>
      <c r="F460">
        <v>3</v>
      </c>
      <c r="G460" t="str">
        <f>IFERROR(VLOOKUP(Simulated_Dept_Data[[#This Row],[ProfileID]],Table57[],2,FALSE),"NO PROFILE")</f>
        <v>Mr. &amp; Mrs. Smiths</v>
      </c>
      <c r="H460">
        <v>19837.88</v>
      </c>
      <c r="I460">
        <v>2191</v>
      </c>
    </row>
    <row r="461" spans="1:9" x14ac:dyDescent="0.25">
      <c r="A461" t="s">
        <v>11</v>
      </c>
      <c r="B461" t="str">
        <f>VLOOKUP(Simulated_Dept_Data[[#This Row],[DepartmentID]],Table578[],2,FALSE)</f>
        <v>Beachwear</v>
      </c>
      <c r="C461">
        <v>2023</v>
      </c>
      <c r="D461">
        <v>1</v>
      </c>
      <c r="E461" t="str">
        <f>VLOOKUP(Simulated_Dept_Data[[#This Row],[SegmentID]],Table5[],2,FALSE)</f>
        <v>Elite Customers</v>
      </c>
      <c r="F461">
        <v>4</v>
      </c>
      <c r="G461" t="str">
        <f>IFERROR(VLOOKUP(Simulated_Dept_Data[[#This Row],[ProfileID]],Table57[],2,FALSE),"NO PROFILE")</f>
        <v>Blue Collar Royalty</v>
      </c>
      <c r="H461">
        <v>5428.11</v>
      </c>
      <c r="I461">
        <v>1146</v>
      </c>
    </row>
    <row r="462" spans="1:9" x14ac:dyDescent="0.25">
      <c r="A462" t="s">
        <v>11</v>
      </c>
      <c r="B462" t="str">
        <f>VLOOKUP(Simulated_Dept_Data[[#This Row],[DepartmentID]],Table578[],2,FALSE)</f>
        <v>Beachwear</v>
      </c>
      <c r="C462">
        <v>2023</v>
      </c>
      <c r="D462">
        <v>1</v>
      </c>
      <c r="E462" t="str">
        <f>VLOOKUP(Simulated_Dept_Data[[#This Row],[SegmentID]],Table5[],2,FALSE)</f>
        <v>Elite Customers</v>
      </c>
      <c r="F462">
        <v>5</v>
      </c>
      <c r="G462" t="str">
        <f>IFERROR(VLOOKUP(Simulated_Dept_Data[[#This Row],[ProfileID]],Table57[],2,FALSE),"NO PROFILE")</f>
        <v>Pinched Pockets</v>
      </c>
      <c r="H462">
        <v>26285.05</v>
      </c>
      <c r="I462">
        <v>2522</v>
      </c>
    </row>
    <row r="463" spans="1:9" x14ac:dyDescent="0.25">
      <c r="A463" t="s">
        <v>11</v>
      </c>
      <c r="B463" t="str">
        <f>VLOOKUP(Simulated_Dept_Data[[#This Row],[DepartmentID]],Table578[],2,FALSE)</f>
        <v>Beachwear</v>
      </c>
      <c r="C463">
        <v>2023</v>
      </c>
      <c r="D463">
        <v>1</v>
      </c>
      <c r="E463" t="str">
        <f>VLOOKUP(Simulated_Dept_Data[[#This Row],[SegmentID]],Table5[],2,FALSE)</f>
        <v>Elite Customers</v>
      </c>
      <c r="F463">
        <v>6</v>
      </c>
      <c r="G463" t="str">
        <f>IFERROR(VLOOKUP(Simulated_Dept_Data[[#This Row],[ProfileID]],Table57[],2,FALSE),"NO PROFILE")</f>
        <v>Normal Families</v>
      </c>
      <c r="H463">
        <v>4129.68</v>
      </c>
      <c r="I463">
        <v>1000</v>
      </c>
    </row>
    <row r="464" spans="1:9" x14ac:dyDescent="0.25">
      <c r="A464" t="s">
        <v>11</v>
      </c>
      <c r="B464" t="str">
        <f>VLOOKUP(Simulated_Dept_Data[[#This Row],[DepartmentID]],Table578[],2,FALSE)</f>
        <v>Beachwear</v>
      </c>
      <c r="C464">
        <v>2023</v>
      </c>
      <c r="D464">
        <v>2</v>
      </c>
      <c r="E464" t="str">
        <f>VLOOKUP(Simulated_Dept_Data[[#This Row],[SegmentID]],Table5[],2,FALSE)</f>
        <v>Core Customers</v>
      </c>
      <c r="G464" t="str">
        <f>IFERROR(VLOOKUP(Simulated_Dept_Data[[#This Row],[ProfileID]],Table57[],2,FALSE),"NO PROFILE")</f>
        <v>NO PROFILE</v>
      </c>
      <c r="H464">
        <v>19095.27</v>
      </c>
      <c r="I464">
        <v>2431</v>
      </c>
    </row>
    <row r="465" spans="1:9" x14ac:dyDescent="0.25">
      <c r="A465" t="s">
        <v>11</v>
      </c>
      <c r="B465" t="str">
        <f>VLOOKUP(Simulated_Dept_Data[[#This Row],[DepartmentID]],Table578[],2,FALSE)</f>
        <v>Beachwear</v>
      </c>
      <c r="C465">
        <v>2023</v>
      </c>
      <c r="D465">
        <v>2</v>
      </c>
      <c r="E465" t="str">
        <f>VLOOKUP(Simulated_Dept_Data[[#This Row],[SegmentID]],Table5[],2,FALSE)</f>
        <v>Core Customers</v>
      </c>
      <c r="F465">
        <v>1</v>
      </c>
      <c r="G465" t="str">
        <f>IFERROR(VLOOKUP(Simulated_Dept_Data[[#This Row],[ProfileID]],Table57[],2,FALSE),"NO PROFILE")</f>
        <v>City Slickers</v>
      </c>
      <c r="H465">
        <v>4568.3100000000004</v>
      </c>
      <c r="I465">
        <v>1189</v>
      </c>
    </row>
    <row r="466" spans="1:9" x14ac:dyDescent="0.25">
      <c r="A466" t="s">
        <v>11</v>
      </c>
      <c r="B466" t="str">
        <f>VLOOKUP(Simulated_Dept_Data[[#This Row],[DepartmentID]],Table578[],2,FALSE)</f>
        <v>Beachwear</v>
      </c>
      <c r="C466">
        <v>2023</v>
      </c>
      <c r="D466">
        <v>2</v>
      </c>
      <c r="E466" t="str">
        <f>VLOOKUP(Simulated_Dept_Data[[#This Row],[SegmentID]],Table5[],2,FALSE)</f>
        <v>Core Customers</v>
      </c>
      <c r="F466">
        <v>2</v>
      </c>
      <c r="G466" t="str">
        <f>IFERROR(VLOOKUP(Simulated_Dept_Data[[#This Row],[ProfileID]],Table57[],2,FALSE),"NO PROFILE")</f>
        <v>Rich &amp; Richer</v>
      </c>
      <c r="H466">
        <v>7303.73</v>
      </c>
      <c r="I466">
        <v>1504</v>
      </c>
    </row>
    <row r="467" spans="1:9" x14ac:dyDescent="0.25">
      <c r="A467" t="s">
        <v>11</v>
      </c>
      <c r="B467" t="str">
        <f>VLOOKUP(Simulated_Dept_Data[[#This Row],[DepartmentID]],Table578[],2,FALSE)</f>
        <v>Beachwear</v>
      </c>
      <c r="C467">
        <v>2023</v>
      </c>
      <c r="D467">
        <v>2</v>
      </c>
      <c r="E467" t="str">
        <f>VLOOKUP(Simulated_Dept_Data[[#This Row],[SegmentID]],Table5[],2,FALSE)</f>
        <v>Core Customers</v>
      </c>
      <c r="F467">
        <v>3</v>
      </c>
      <c r="G467" t="str">
        <f>IFERROR(VLOOKUP(Simulated_Dept_Data[[#This Row],[ProfileID]],Table57[],2,FALSE),"NO PROFILE")</f>
        <v>Mr. &amp; Mrs. Smiths</v>
      </c>
      <c r="H467">
        <v>15985.31</v>
      </c>
      <c r="I467">
        <v>2225</v>
      </c>
    </row>
    <row r="468" spans="1:9" x14ac:dyDescent="0.25">
      <c r="A468" t="s">
        <v>11</v>
      </c>
      <c r="B468" t="str">
        <f>VLOOKUP(Simulated_Dept_Data[[#This Row],[DepartmentID]],Table578[],2,FALSE)</f>
        <v>Beachwear</v>
      </c>
      <c r="C468">
        <v>2023</v>
      </c>
      <c r="D468">
        <v>2</v>
      </c>
      <c r="E468" t="str">
        <f>VLOOKUP(Simulated_Dept_Data[[#This Row],[SegmentID]],Table5[],2,FALSE)</f>
        <v>Core Customers</v>
      </c>
      <c r="F468">
        <v>4</v>
      </c>
      <c r="G468" t="str">
        <f>IFERROR(VLOOKUP(Simulated_Dept_Data[[#This Row],[ProfileID]],Table57[],2,FALSE),"NO PROFILE")</f>
        <v>Blue Collar Royalty</v>
      </c>
      <c r="H468">
        <v>11.24</v>
      </c>
      <c r="I468">
        <v>59</v>
      </c>
    </row>
    <row r="469" spans="1:9" x14ac:dyDescent="0.25">
      <c r="A469" t="s">
        <v>11</v>
      </c>
      <c r="B469" t="str">
        <f>VLOOKUP(Simulated_Dept_Data[[#This Row],[DepartmentID]],Table578[],2,FALSE)</f>
        <v>Beachwear</v>
      </c>
      <c r="C469">
        <v>2023</v>
      </c>
      <c r="D469">
        <v>2</v>
      </c>
      <c r="E469" t="str">
        <f>VLOOKUP(Simulated_Dept_Data[[#This Row],[SegmentID]],Table5[],2,FALSE)</f>
        <v>Core Customers</v>
      </c>
      <c r="F469">
        <v>5</v>
      </c>
      <c r="G469" t="str">
        <f>IFERROR(VLOOKUP(Simulated_Dept_Data[[#This Row],[ProfileID]],Table57[],2,FALSE),"NO PROFILE")</f>
        <v>Pinched Pockets</v>
      </c>
      <c r="H469">
        <v>3320.55</v>
      </c>
      <c r="I469">
        <v>1014</v>
      </c>
    </row>
    <row r="470" spans="1:9" x14ac:dyDescent="0.25">
      <c r="A470" t="s">
        <v>11</v>
      </c>
      <c r="B470" t="str">
        <f>VLOOKUP(Simulated_Dept_Data[[#This Row],[DepartmentID]],Table578[],2,FALSE)</f>
        <v>Beachwear</v>
      </c>
      <c r="C470">
        <v>2023</v>
      </c>
      <c r="D470">
        <v>2</v>
      </c>
      <c r="E470" t="str">
        <f>VLOOKUP(Simulated_Dept_Data[[#This Row],[SegmentID]],Table5[],2,FALSE)</f>
        <v>Core Customers</v>
      </c>
      <c r="F470">
        <v>6</v>
      </c>
      <c r="G470" t="str">
        <f>IFERROR(VLOOKUP(Simulated_Dept_Data[[#This Row],[ProfileID]],Table57[],2,FALSE),"NO PROFILE")</f>
        <v>Normal Families</v>
      </c>
      <c r="H470">
        <v>1998.56</v>
      </c>
      <c r="I470">
        <v>787</v>
      </c>
    </row>
    <row r="471" spans="1:9" x14ac:dyDescent="0.25">
      <c r="A471" t="s">
        <v>11</v>
      </c>
      <c r="B471" t="str">
        <f>VLOOKUP(Simulated_Dept_Data[[#This Row],[DepartmentID]],Table578[],2,FALSE)</f>
        <v>Beachwear</v>
      </c>
      <c r="C471">
        <v>2023</v>
      </c>
      <c r="D471">
        <v>3</v>
      </c>
      <c r="E471" t="str">
        <f>VLOOKUP(Simulated_Dept_Data[[#This Row],[SegmentID]],Table5[],2,FALSE)</f>
        <v>Power Shoppers</v>
      </c>
      <c r="G471" t="str">
        <f>IFERROR(VLOOKUP(Simulated_Dept_Data[[#This Row],[ProfileID]],Table57[],2,FALSE),"NO PROFILE")</f>
        <v>NO PROFILE</v>
      </c>
      <c r="H471">
        <v>3515.94</v>
      </c>
      <c r="I471">
        <v>1042</v>
      </c>
    </row>
    <row r="472" spans="1:9" x14ac:dyDescent="0.25">
      <c r="A472" t="s">
        <v>11</v>
      </c>
      <c r="B472" t="str">
        <f>VLOOKUP(Simulated_Dept_Data[[#This Row],[DepartmentID]],Table578[],2,FALSE)</f>
        <v>Beachwear</v>
      </c>
      <c r="C472">
        <v>2023</v>
      </c>
      <c r="D472">
        <v>3</v>
      </c>
      <c r="E472" t="str">
        <f>VLOOKUP(Simulated_Dept_Data[[#This Row],[SegmentID]],Table5[],2,FALSE)</f>
        <v>Power Shoppers</v>
      </c>
      <c r="F472">
        <v>1</v>
      </c>
      <c r="G472" t="str">
        <f>IFERROR(VLOOKUP(Simulated_Dept_Data[[#This Row],[ProfileID]],Table57[],2,FALSE),"NO PROFILE")</f>
        <v>City Slickers</v>
      </c>
      <c r="H472">
        <v>16837.37</v>
      </c>
      <c r="I472">
        <v>2281</v>
      </c>
    </row>
    <row r="473" spans="1:9" x14ac:dyDescent="0.25">
      <c r="A473" t="s">
        <v>11</v>
      </c>
      <c r="B473" t="str">
        <f>VLOOKUP(Simulated_Dept_Data[[#This Row],[DepartmentID]],Table578[],2,FALSE)</f>
        <v>Beachwear</v>
      </c>
      <c r="C473">
        <v>2023</v>
      </c>
      <c r="D473">
        <v>3</v>
      </c>
      <c r="E473" t="str">
        <f>VLOOKUP(Simulated_Dept_Data[[#This Row],[SegmentID]],Table5[],2,FALSE)</f>
        <v>Power Shoppers</v>
      </c>
      <c r="F473">
        <v>2</v>
      </c>
      <c r="G473" t="str">
        <f>IFERROR(VLOOKUP(Simulated_Dept_Data[[#This Row],[ProfileID]],Table57[],2,FALSE),"NO PROFILE")</f>
        <v>Rich &amp; Richer</v>
      </c>
      <c r="H473">
        <v>2300.38</v>
      </c>
      <c r="I473">
        <v>843</v>
      </c>
    </row>
    <row r="474" spans="1:9" x14ac:dyDescent="0.25">
      <c r="A474" t="s">
        <v>11</v>
      </c>
      <c r="B474" t="str">
        <f>VLOOKUP(Simulated_Dept_Data[[#This Row],[DepartmentID]],Table578[],2,FALSE)</f>
        <v>Beachwear</v>
      </c>
      <c r="C474">
        <v>2023</v>
      </c>
      <c r="D474">
        <v>3</v>
      </c>
      <c r="E474" t="str">
        <f>VLOOKUP(Simulated_Dept_Data[[#This Row],[SegmentID]],Table5[],2,FALSE)</f>
        <v>Power Shoppers</v>
      </c>
      <c r="F474">
        <v>3</v>
      </c>
      <c r="G474" t="str">
        <f>IFERROR(VLOOKUP(Simulated_Dept_Data[[#This Row],[ProfileID]],Table57[],2,FALSE),"NO PROFILE")</f>
        <v>Mr. &amp; Mrs. Smiths</v>
      </c>
      <c r="H474">
        <v>329.77</v>
      </c>
      <c r="I474">
        <v>319</v>
      </c>
    </row>
    <row r="475" spans="1:9" x14ac:dyDescent="0.25">
      <c r="A475" t="s">
        <v>11</v>
      </c>
      <c r="B475" t="str">
        <f>VLOOKUP(Simulated_Dept_Data[[#This Row],[DepartmentID]],Table578[],2,FALSE)</f>
        <v>Beachwear</v>
      </c>
      <c r="C475">
        <v>2023</v>
      </c>
      <c r="D475">
        <v>3</v>
      </c>
      <c r="E475" t="str">
        <f>VLOOKUP(Simulated_Dept_Data[[#This Row],[SegmentID]],Table5[],2,FALSE)</f>
        <v>Power Shoppers</v>
      </c>
      <c r="F475">
        <v>4</v>
      </c>
      <c r="G475" t="str">
        <f>IFERROR(VLOOKUP(Simulated_Dept_Data[[#This Row],[ProfileID]],Table57[],2,FALSE),"NO PROFILE")</f>
        <v>Blue Collar Royalty</v>
      </c>
      <c r="H475">
        <v>9903.15</v>
      </c>
      <c r="I475">
        <v>1749</v>
      </c>
    </row>
    <row r="476" spans="1:9" x14ac:dyDescent="0.25">
      <c r="A476" t="s">
        <v>11</v>
      </c>
      <c r="B476" t="str">
        <f>VLOOKUP(Simulated_Dept_Data[[#This Row],[DepartmentID]],Table578[],2,FALSE)</f>
        <v>Beachwear</v>
      </c>
      <c r="C476">
        <v>2023</v>
      </c>
      <c r="D476">
        <v>3</v>
      </c>
      <c r="E476" t="str">
        <f>VLOOKUP(Simulated_Dept_Data[[#This Row],[SegmentID]],Table5[],2,FALSE)</f>
        <v>Power Shoppers</v>
      </c>
      <c r="F476">
        <v>5</v>
      </c>
      <c r="G476" t="str">
        <f>IFERROR(VLOOKUP(Simulated_Dept_Data[[#This Row],[ProfileID]],Table57[],2,FALSE),"NO PROFILE")</f>
        <v>Pinched Pockets</v>
      </c>
      <c r="H476">
        <v>3572.94</v>
      </c>
      <c r="I476">
        <v>1051</v>
      </c>
    </row>
    <row r="477" spans="1:9" x14ac:dyDescent="0.25">
      <c r="A477" t="s">
        <v>11</v>
      </c>
      <c r="B477" t="str">
        <f>VLOOKUP(Simulated_Dept_Data[[#This Row],[DepartmentID]],Table578[],2,FALSE)</f>
        <v>Beachwear</v>
      </c>
      <c r="C477">
        <v>2023</v>
      </c>
      <c r="D477">
        <v>3</v>
      </c>
      <c r="E477" t="str">
        <f>VLOOKUP(Simulated_Dept_Data[[#This Row],[SegmentID]],Table5[],2,FALSE)</f>
        <v>Power Shoppers</v>
      </c>
      <c r="F477">
        <v>6</v>
      </c>
      <c r="G477" t="str">
        <f>IFERROR(VLOOKUP(Simulated_Dept_Data[[#This Row],[ProfileID]],Table57[],2,FALSE),"NO PROFILE")</f>
        <v>Normal Families</v>
      </c>
      <c r="H477">
        <v>103.55</v>
      </c>
      <c r="I477">
        <v>179</v>
      </c>
    </row>
    <row r="478" spans="1:9" x14ac:dyDescent="0.25">
      <c r="A478" t="s">
        <v>11</v>
      </c>
      <c r="B478" t="str">
        <f>VLOOKUP(Simulated_Dept_Data[[#This Row],[DepartmentID]],Table578[],2,FALSE)</f>
        <v>Beachwear</v>
      </c>
      <c r="C478">
        <v>2023</v>
      </c>
      <c r="D478">
        <v>4</v>
      </c>
      <c r="E478" t="str">
        <f>VLOOKUP(Simulated_Dept_Data[[#This Row],[SegmentID]],Table5[],2,FALSE)</f>
        <v>Infrequent Customers</v>
      </c>
      <c r="G478" t="str">
        <f>IFERROR(VLOOKUP(Simulated_Dept_Data[[#This Row],[ProfileID]],Table57[],2,FALSE),"NO PROFILE")</f>
        <v>NO PROFILE</v>
      </c>
      <c r="H478">
        <v>4689.57</v>
      </c>
      <c r="I478">
        <v>1155</v>
      </c>
    </row>
    <row r="479" spans="1:9" x14ac:dyDescent="0.25">
      <c r="A479" t="s">
        <v>11</v>
      </c>
      <c r="B479" t="str">
        <f>VLOOKUP(Simulated_Dept_Data[[#This Row],[DepartmentID]],Table578[],2,FALSE)</f>
        <v>Beachwear</v>
      </c>
      <c r="C479">
        <v>2023</v>
      </c>
      <c r="D479">
        <v>4</v>
      </c>
      <c r="E479" t="str">
        <f>VLOOKUP(Simulated_Dept_Data[[#This Row],[SegmentID]],Table5[],2,FALSE)</f>
        <v>Infrequent Customers</v>
      </c>
      <c r="F479">
        <v>1</v>
      </c>
      <c r="G479" t="str">
        <f>IFERROR(VLOOKUP(Simulated_Dept_Data[[#This Row],[ProfileID]],Table57[],2,FALSE),"NO PROFILE")</f>
        <v>City Slickers</v>
      </c>
      <c r="H479">
        <v>18863.189999999999</v>
      </c>
      <c r="I479">
        <v>2316</v>
      </c>
    </row>
    <row r="480" spans="1:9" x14ac:dyDescent="0.25">
      <c r="A480" t="s">
        <v>11</v>
      </c>
      <c r="B480" t="str">
        <f>VLOOKUP(Simulated_Dept_Data[[#This Row],[DepartmentID]],Table578[],2,FALSE)</f>
        <v>Beachwear</v>
      </c>
      <c r="C480">
        <v>2023</v>
      </c>
      <c r="D480">
        <v>4</v>
      </c>
      <c r="E480" t="str">
        <f>VLOOKUP(Simulated_Dept_Data[[#This Row],[SegmentID]],Table5[],2,FALSE)</f>
        <v>Infrequent Customers</v>
      </c>
      <c r="F480">
        <v>2</v>
      </c>
      <c r="G480" t="str">
        <f>IFERROR(VLOOKUP(Simulated_Dept_Data[[#This Row],[ProfileID]],Table57[],2,FALSE),"NO PROFILE")</f>
        <v>Rich &amp; Richer</v>
      </c>
      <c r="H480">
        <v>440.01</v>
      </c>
      <c r="I480">
        <v>354</v>
      </c>
    </row>
    <row r="481" spans="1:9" x14ac:dyDescent="0.25">
      <c r="A481" t="s">
        <v>11</v>
      </c>
      <c r="B481" t="str">
        <f>VLOOKUP(Simulated_Dept_Data[[#This Row],[DepartmentID]],Table578[],2,FALSE)</f>
        <v>Beachwear</v>
      </c>
      <c r="C481">
        <v>2023</v>
      </c>
      <c r="D481">
        <v>4</v>
      </c>
      <c r="E481" t="str">
        <f>VLOOKUP(Simulated_Dept_Data[[#This Row],[SegmentID]],Table5[],2,FALSE)</f>
        <v>Infrequent Customers</v>
      </c>
      <c r="F481">
        <v>3</v>
      </c>
      <c r="G481" t="str">
        <f>IFERROR(VLOOKUP(Simulated_Dept_Data[[#This Row],[ProfileID]],Table57[],2,FALSE),"NO PROFILE")</f>
        <v>Mr. &amp; Mrs. Smiths</v>
      </c>
      <c r="H481">
        <v>3720.44</v>
      </c>
      <c r="I481">
        <v>1028</v>
      </c>
    </row>
    <row r="482" spans="1:9" x14ac:dyDescent="0.25">
      <c r="A482" t="s">
        <v>11</v>
      </c>
      <c r="B482" t="str">
        <f>VLOOKUP(Simulated_Dept_Data[[#This Row],[DepartmentID]],Table578[],2,FALSE)</f>
        <v>Beachwear</v>
      </c>
      <c r="C482">
        <v>2023</v>
      </c>
      <c r="D482">
        <v>4</v>
      </c>
      <c r="E482" t="str">
        <f>VLOOKUP(Simulated_Dept_Data[[#This Row],[SegmentID]],Table5[],2,FALSE)</f>
        <v>Infrequent Customers</v>
      </c>
      <c r="F482">
        <v>4</v>
      </c>
      <c r="G482" t="str">
        <f>IFERROR(VLOOKUP(Simulated_Dept_Data[[#This Row],[ProfileID]],Table57[],2,FALSE),"NO PROFILE")</f>
        <v>Blue Collar Royalty</v>
      </c>
      <c r="H482">
        <v>17588.990000000002</v>
      </c>
      <c r="I482">
        <v>2236</v>
      </c>
    </row>
    <row r="483" spans="1:9" x14ac:dyDescent="0.25">
      <c r="A483" t="s">
        <v>11</v>
      </c>
      <c r="B483" t="str">
        <f>VLOOKUP(Simulated_Dept_Data[[#This Row],[DepartmentID]],Table578[],2,FALSE)</f>
        <v>Beachwear</v>
      </c>
      <c r="C483">
        <v>2023</v>
      </c>
      <c r="D483">
        <v>4</v>
      </c>
      <c r="E483" t="str">
        <f>VLOOKUP(Simulated_Dept_Data[[#This Row],[SegmentID]],Table5[],2,FALSE)</f>
        <v>Infrequent Customers</v>
      </c>
      <c r="F483">
        <v>5</v>
      </c>
      <c r="G483" t="str">
        <f>IFERROR(VLOOKUP(Simulated_Dept_Data[[#This Row],[ProfileID]],Table57[],2,FALSE),"NO PROFILE")</f>
        <v>Pinched Pockets</v>
      </c>
      <c r="H483">
        <v>37.44</v>
      </c>
      <c r="I483">
        <v>103</v>
      </c>
    </row>
    <row r="484" spans="1:9" x14ac:dyDescent="0.25">
      <c r="A484" t="s">
        <v>11</v>
      </c>
      <c r="B484" t="str">
        <f>VLOOKUP(Simulated_Dept_Data[[#This Row],[DepartmentID]],Table578[],2,FALSE)</f>
        <v>Beachwear</v>
      </c>
      <c r="C484">
        <v>2023</v>
      </c>
      <c r="D484">
        <v>4</v>
      </c>
      <c r="E484" t="str">
        <f>VLOOKUP(Simulated_Dept_Data[[#This Row],[SegmentID]],Table5[],2,FALSE)</f>
        <v>Infrequent Customers</v>
      </c>
      <c r="F484">
        <v>6</v>
      </c>
      <c r="G484" t="str">
        <f>IFERROR(VLOOKUP(Simulated_Dept_Data[[#This Row],[ProfileID]],Table57[],2,FALSE),"NO PROFILE")</f>
        <v>Normal Families</v>
      </c>
      <c r="H484">
        <v>1891.12</v>
      </c>
      <c r="I484">
        <v>733</v>
      </c>
    </row>
    <row r="485" spans="1:9" x14ac:dyDescent="0.25">
      <c r="A485" t="s">
        <v>11</v>
      </c>
      <c r="B485" t="str">
        <f>VLOOKUP(Simulated_Dept_Data[[#This Row],[DepartmentID]],Table578[],2,FALSE)</f>
        <v>Beachwear</v>
      </c>
      <c r="C485">
        <v>2023</v>
      </c>
      <c r="D485">
        <v>5</v>
      </c>
      <c r="E485" t="str">
        <f>VLOOKUP(Simulated_Dept_Data[[#This Row],[SegmentID]],Table5[],2,FALSE)</f>
        <v>New Customers</v>
      </c>
      <c r="G485" t="str">
        <f>IFERROR(VLOOKUP(Simulated_Dept_Data[[#This Row],[ProfileID]],Table57[],2,FALSE),"NO PROFILE")</f>
        <v>NO PROFILE</v>
      </c>
      <c r="H485">
        <v>33425.24</v>
      </c>
      <c r="I485">
        <v>3079</v>
      </c>
    </row>
    <row r="486" spans="1:9" x14ac:dyDescent="0.25">
      <c r="A486" t="s">
        <v>11</v>
      </c>
      <c r="B486" t="str">
        <f>VLOOKUP(Simulated_Dept_Data[[#This Row],[DepartmentID]],Table578[],2,FALSE)</f>
        <v>Beachwear</v>
      </c>
      <c r="C486">
        <v>2023</v>
      </c>
      <c r="D486">
        <v>5</v>
      </c>
      <c r="E486" t="str">
        <f>VLOOKUP(Simulated_Dept_Data[[#This Row],[SegmentID]],Table5[],2,FALSE)</f>
        <v>New Customers</v>
      </c>
      <c r="F486">
        <v>1</v>
      </c>
      <c r="G486" t="str">
        <f>IFERROR(VLOOKUP(Simulated_Dept_Data[[#This Row],[ProfileID]],Table57[],2,FALSE),"NO PROFILE")</f>
        <v>City Slickers</v>
      </c>
      <c r="H486">
        <v>11271.58</v>
      </c>
      <c r="I486">
        <v>1788</v>
      </c>
    </row>
    <row r="487" spans="1:9" x14ac:dyDescent="0.25">
      <c r="A487" t="s">
        <v>11</v>
      </c>
      <c r="B487" t="str">
        <f>VLOOKUP(Simulated_Dept_Data[[#This Row],[DepartmentID]],Table578[],2,FALSE)</f>
        <v>Beachwear</v>
      </c>
      <c r="C487">
        <v>2023</v>
      </c>
      <c r="D487">
        <v>5</v>
      </c>
      <c r="E487" t="str">
        <f>VLOOKUP(Simulated_Dept_Data[[#This Row],[SegmentID]],Table5[],2,FALSE)</f>
        <v>New Customers</v>
      </c>
      <c r="F487">
        <v>2</v>
      </c>
      <c r="G487" t="str">
        <f>IFERROR(VLOOKUP(Simulated_Dept_Data[[#This Row],[ProfileID]],Table57[],2,FALSE),"NO PROFILE")</f>
        <v>Rich &amp; Richer</v>
      </c>
      <c r="H487">
        <v>24225.81</v>
      </c>
      <c r="I487">
        <v>2622</v>
      </c>
    </row>
    <row r="488" spans="1:9" x14ac:dyDescent="0.25">
      <c r="A488" t="s">
        <v>11</v>
      </c>
      <c r="B488" t="str">
        <f>VLOOKUP(Simulated_Dept_Data[[#This Row],[DepartmentID]],Table578[],2,FALSE)</f>
        <v>Beachwear</v>
      </c>
      <c r="C488">
        <v>2023</v>
      </c>
      <c r="D488">
        <v>5</v>
      </c>
      <c r="E488" t="str">
        <f>VLOOKUP(Simulated_Dept_Data[[#This Row],[SegmentID]],Table5[],2,FALSE)</f>
        <v>New Customers</v>
      </c>
      <c r="F488">
        <v>3</v>
      </c>
      <c r="G488" t="str">
        <f>IFERROR(VLOOKUP(Simulated_Dept_Data[[#This Row],[ProfileID]],Table57[],2,FALSE),"NO PROFILE")</f>
        <v>Mr. &amp; Mrs. Smiths</v>
      </c>
      <c r="H488">
        <v>37059.370000000003</v>
      </c>
      <c r="I488">
        <v>3242</v>
      </c>
    </row>
    <row r="489" spans="1:9" x14ac:dyDescent="0.25">
      <c r="A489" t="s">
        <v>11</v>
      </c>
      <c r="B489" t="str">
        <f>VLOOKUP(Simulated_Dept_Data[[#This Row],[DepartmentID]],Table578[],2,FALSE)</f>
        <v>Beachwear</v>
      </c>
      <c r="C489">
        <v>2023</v>
      </c>
      <c r="D489">
        <v>5</v>
      </c>
      <c r="E489" t="str">
        <f>VLOOKUP(Simulated_Dept_Data[[#This Row],[SegmentID]],Table5[],2,FALSE)</f>
        <v>New Customers</v>
      </c>
      <c r="F489">
        <v>4</v>
      </c>
      <c r="G489" t="str">
        <f>IFERROR(VLOOKUP(Simulated_Dept_Data[[#This Row],[ProfileID]],Table57[],2,FALSE),"NO PROFILE")</f>
        <v>Blue Collar Royalty</v>
      </c>
      <c r="H489">
        <v>46.19</v>
      </c>
      <c r="I489">
        <v>114</v>
      </c>
    </row>
    <row r="490" spans="1:9" x14ac:dyDescent="0.25">
      <c r="A490" t="s">
        <v>11</v>
      </c>
      <c r="B490" t="str">
        <f>VLOOKUP(Simulated_Dept_Data[[#This Row],[DepartmentID]],Table578[],2,FALSE)</f>
        <v>Beachwear</v>
      </c>
      <c r="C490">
        <v>2023</v>
      </c>
      <c r="D490">
        <v>5</v>
      </c>
      <c r="E490" t="str">
        <f>VLOOKUP(Simulated_Dept_Data[[#This Row],[SegmentID]],Table5[],2,FALSE)</f>
        <v>New Customers</v>
      </c>
      <c r="F490">
        <v>5</v>
      </c>
      <c r="G490" t="str">
        <f>IFERROR(VLOOKUP(Simulated_Dept_Data[[#This Row],[ProfileID]],Table57[],2,FALSE),"NO PROFILE")</f>
        <v>Pinched Pockets</v>
      </c>
      <c r="H490">
        <v>56.33</v>
      </c>
      <c r="I490">
        <v>126</v>
      </c>
    </row>
    <row r="491" spans="1:9" x14ac:dyDescent="0.25">
      <c r="A491" t="s">
        <v>11</v>
      </c>
      <c r="B491" t="str">
        <f>VLOOKUP(Simulated_Dept_Data[[#This Row],[DepartmentID]],Table578[],2,FALSE)</f>
        <v>Beachwear</v>
      </c>
      <c r="C491">
        <v>2023</v>
      </c>
      <c r="D491">
        <v>5</v>
      </c>
      <c r="E491" t="str">
        <f>VLOOKUP(Simulated_Dept_Data[[#This Row],[SegmentID]],Table5[],2,FALSE)</f>
        <v>New Customers</v>
      </c>
      <c r="F491">
        <v>6</v>
      </c>
      <c r="G491" t="str">
        <f>IFERROR(VLOOKUP(Simulated_Dept_Data[[#This Row],[ProfileID]],Table57[],2,FALSE),"NO PROFILE")</f>
        <v>Normal Families</v>
      </c>
      <c r="H491">
        <v>281.38</v>
      </c>
      <c r="I491">
        <v>283</v>
      </c>
    </row>
    <row r="492" spans="1:9" x14ac:dyDescent="0.25">
      <c r="A492" t="s">
        <v>12</v>
      </c>
      <c r="B492" t="str">
        <f>VLOOKUP(Simulated_Dept_Data[[#This Row],[DepartmentID]],Table578[],2,FALSE)</f>
        <v>Knick Knacks</v>
      </c>
      <c r="C492">
        <v>2022</v>
      </c>
      <c r="D492">
        <v>1</v>
      </c>
      <c r="E492" t="str">
        <f>VLOOKUP(Simulated_Dept_Data[[#This Row],[SegmentID]],Table5[],2,FALSE)</f>
        <v>Elite Customers</v>
      </c>
      <c r="G492" t="str">
        <f>IFERROR(VLOOKUP(Simulated_Dept_Data[[#This Row],[ProfileID]],Table57[],2,FALSE),"NO PROFILE")</f>
        <v>NO PROFILE</v>
      </c>
      <c r="H492">
        <v>69011.649999999994</v>
      </c>
      <c r="I492">
        <v>2481</v>
      </c>
    </row>
    <row r="493" spans="1:9" x14ac:dyDescent="0.25">
      <c r="A493" t="s">
        <v>12</v>
      </c>
      <c r="B493" t="str">
        <f>VLOOKUP(Simulated_Dept_Data[[#This Row],[DepartmentID]],Table578[],2,FALSE)</f>
        <v>Knick Knacks</v>
      </c>
      <c r="C493">
        <v>2022</v>
      </c>
      <c r="D493">
        <v>1</v>
      </c>
      <c r="E493" t="str">
        <f>VLOOKUP(Simulated_Dept_Data[[#This Row],[SegmentID]],Table5[],2,FALSE)</f>
        <v>Elite Customers</v>
      </c>
      <c r="F493">
        <v>1</v>
      </c>
      <c r="G493" t="str">
        <f>IFERROR(VLOOKUP(Simulated_Dept_Data[[#This Row],[ProfileID]],Table57[],2,FALSE),"NO PROFILE")</f>
        <v>City Slickers</v>
      </c>
      <c r="H493">
        <v>217474.62</v>
      </c>
      <c r="I493">
        <v>4405</v>
      </c>
    </row>
    <row r="494" spans="1:9" x14ac:dyDescent="0.25">
      <c r="A494" t="s">
        <v>12</v>
      </c>
      <c r="B494" t="str">
        <f>VLOOKUP(Simulated_Dept_Data[[#This Row],[DepartmentID]],Table578[],2,FALSE)</f>
        <v>Knick Knacks</v>
      </c>
      <c r="C494">
        <v>2022</v>
      </c>
      <c r="D494">
        <v>1</v>
      </c>
      <c r="E494" t="str">
        <f>VLOOKUP(Simulated_Dept_Data[[#This Row],[SegmentID]],Table5[],2,FALSE)</f>
        <v>Elite Customers</v>
      </c>
      <c r="F494">
        <v>2</v>
      </c>
      <c r="G494" t="str">
        <f>IFERROR(VLOOKUP(Simulated_Dept_Data[[#This Row],[ProfileID]],Table57[],2,FALSE),"NO PROFILE")</f>
        <v>Rich &amp; Richer</v>
      </c>
      <c r="H494">
        <v>247328.73</v>
      </c>
      <c r="I494">
        <v>4697</v>
      </c>
    </row>
    <row r="495" spans="1:9" x14ac:dyDescent="0.25">
      <c r="A495" t="s">
        <v>12</v>
      </c>
      <c r="B495" t="str">
        <f>VLOOKUP(Simulated_Dept_Data[[#This Row],[DepartmentID]],Table578[],2,FALSE)</f>
        <v>Knick Knacks</v>
      </c>
      <c r="C495">
        <v>2022</v>
      </c>
      <c r="D495">
        <v>1</v>
      </c>
      <c r="E495" t="str">
        <f>VLOOKUP(Simulated_Dept_Data[[#This Row],[SegmentID]],Table5[],2,FALSE)</f>
        <v>Elite Customers</v>
      </c>
      <c r="F495">
        <v>3</v>
      </c>
      <c r="G495" t="str">
        <f>IFERROR(VLOOKUP(Simulated_Dept_Data[[#This Row],[ProfileID]],Table57[],2,FALSE),"NO PROFILE")</f>
        <v>Mr. &amp; Mrs. Smiths</v>
      </c>
      <c r="H495">
        <v>252977.05</v>
      </c>
      <c r="I495">
        <v>4751</v>
      </c>
    </row>
    <row r="496" spans="1:9" x14ac:dyDescent="0.25">
      <c r="A496" t="s">
        <v>12</v>
      </c>
      <c r="B496" t="str">
        <f>VLOOKUP(Simulated_Dept_Data[[#This Row],[DepartmentID]],Table578[],2,FALSE)</f>
        <v>Knick Knacks</v>
      </c>
      <c r="C496">
        <v>2022</v>
      </c>
      <c r="D496">
        <v>1</v>
      </c>
      <c r="E496" t="str">
        <f>VLOOKUP(Simulated_Dept_Data[[#This Row],[SegmentID]],Table5[],2,FALSE)</f>
        <v>Elite Customers</v>
      </c>
      <c r="F496">
        <v>4</v>
      </c>
      <c r="G496" t="str">
        <f>IFERROR(VLOOKUP(Simulated_Dept_Data[[#This Row],[ProfileID]],Table57[],2,FALSE),"NO PROFILE")</f>
        <v>Blue Collar Royalty</v>
      </c>
      <c r="H496">
        <v>69220.460000000006</v>
      </c>
      <c r="I496">
        <v>2485</v>
      </c>
    </row>
    <row r="497" spans="1:9" x14ac:dyDescent="0.25">
      <c r="A497" t="s">
        <v>12</v>
      </c>
      <c r="B497" t="str">
        <f>VLOOKUP(Simulated_Dept_Data[[#This Row],[DepartmentID]],Table578[],2,FALSE)</f>
        <v>Knick Knacks</v>
      </c>
      <c r="C497">
        <v>2022</v>
      </c>
      <c r="D497">
        <v>1</v>
      </c>
      <c r="E497" t="str">
        <f>VLOOKUP(Simulated_Dept_Data[[#This Row],[SegmentID]],Table5[],2,FALSE)</f>
        <v>Elite Customers</v>
      </c>
      <c r="F497">
        <v>5</v>
      </c>
      <c r="G497" t="str">
        <f>IFERROR(VLOOKUP(Simulated_Dept_Data[[#This Row],[ProfileID]],Table57[],2,FALSE),"NO PROFILE")</f>
        <v>Pinched Pockets</v>
      </c>
      <c r="H497">
        <v>335192.71999999997</v>
      </c>
      <c r="I497">
        <v>5469</v>
      </c>
    </row>
    <row r="498" spans="1:9" x14ac:dyDescent="0.25">
      <c r="A498" t="s">
        <v>12</v>
      </c>
      <c r="B498" t="str">
        <f>VLOOKUP(Simulated_Dept_Data[[#This Row],[DepartmentID]],Table578[],2,FALSE)</f>
        <v>Knick Knacks</v>
      </c>
      <c r="C498">
        <v>2022</v>
      </c>
      <c r="D498">
        <v>1</v>
      </c>
      <c r="E498" t="str">
        <f>VLOOKUP(Simulated_Dept_Data[[#This Row],[SegmentID]],Table5[],2,FALSE)</f>
        <v>Elite Customers</v>
      </c>
      <c r="F498">
        <v>6</v>
      </c>
      <c r="G498" t="str">
        <f>IFERROR(VLOOKUP(Simulated_Dept_Data[[#This Row],[ProfileID]],Table57[],2,FALSE),"NO PROFILE")</f>
        <v>Normal Families</v>
      </c>
      <c r="H498">
        <v>52662.62</v>
      </c>
      <c r="I498">
        <v>2168</v>
      </c>
    </row>
    <row r="499" spans="1:9" x14ac:dyDescent="0.25">
      <c r="A499" t="s">
        <v>12</v>
      </c>
      <c r="B499" t="str">
        <f>VLOOKUP(Simulated_Dept_Data[[#This Row],[DepartmentID]],Table578[],2,FALSE)</f>
        <v>Knick Knacks</v>
      </c>
      <c r="C499">
        <v>2022</v>
      </c>
      <c r="D499">
        <v>2</v>
      </c>
      <c r="E499" t="str">
        <f>VLOOKUP(Simulated_Dept_Data[[#This Row],[SegmentID]],Table5[],2,FALSE)</f>
        <v>Core Customers</v>
      </c>
      <c r="G499" t="str">
        <f>IFERROR(VLOOKUP(Simulated_Dept_Data[[#This Row],[ProfileID]],Table57[],2,FALSE),"NO PROFILE")</f>
        <v>NO PROFILE</v>
      </c>
      <c r="H499">
        <v>437896.37</v>
      </c>
      <c r="I499">
        <v>6062</v>
      </c>
    </row>
    <row r="500" spans="1:9" x14ac:dyDescent="0.25">
      <c r="A500" t="s">
        <v>12</v>
      </c>
      <c r="B500" t="str">
        <f>VLOOKUP(Simulated_Dept_Data[[#This Row],[DepartmentID]],Table578[],2,FALSE)</f>
        <v>Knick Knacks</v>
      </c>
      <c r="C500">
        <v>2022</v>
      </c>
      <c r="D500">
        <v>2</v>
      </c>
      <c r="E500" t="str">
        <f>VLOOKUP(Simulated_Dept_Data[[#This Row],[SegmentID]],Table5[],2,FALSE)</f>
        <v>Core Customers</v>
      </c>
      <c r="F500">
        <v>1</v>
      </c>
      <c r="G500" t="str">
        <f>IFERROR(VLOOKUP(Simulated_Dept_Data[[#This Row],[ProfileID]],Table57[],2,FALSE),"NO PROFILE")</f>
        <v>City Slickers</v>
      </c>
      <c r="H500">
        <v>104761.31</v>
      </c>
      <c r="I500">
        <v>2965</v>
      </c>
    </row>
    <row r="501" spans="1:9" x14ac:dyDescent="0.25">
      <c r="A501" t="s">
        <v>12</v>
      </c>
      <c r="B501" t="str">
        <f>VLOOKUP(Simulated_Dept_Data[[#This Row],[DepartmentID]],Table578[],2,FALSE)</f>
        <v>Knick Knacks</v>
      </c>
      <c r="C501">
        <v>2022</v>
      </c>
      <c r="D501">
        <v>2</v>
      </c>
      <c r="E501" t="str">
        <f>VLOOKUP(Simulated_Dept_Data[[#This Row],[SegmentID]],Table5[],2,FALSE)</f>
        <v>Core Customers</v>
      </c>
      <c r="F501">
        <v>2</v>
      </c>
      <c r="G501" t="str">
        <f>IFERROR(VLOOKUP(Simulated_Dept_Data[[#This Row],[ProfileID]],Table57[],2,FALSE),"NO PROFILE")</f>
        <v>Rich &amp; Richer</v>
      </c>
      <c r="H501">
        <v>167490.47</v>
      </c>
      <c r="I501">
        <v>3749</v>
      </c>
    </row>
    <row r="502" spans="1:9" x14ac:dyDescent="0.25">
      <c r="A502" t="s">
        <v>12</v>
      </c>
      <c r="B502" t="str">
        <f>VLOOKUP(Simulated_Dept_Data[[#This Row],[DepartmentID]],Table578[],2,FALSE)</f>
        <v>Knick Knacks</v>
      </c>
      <c r="C502">
        <v>2022</v>
      </c>
      <c r="D502">
        <v>2</v>
      </c>
      <c r="E502" t="str">
        <f>VLOOKUP(Simulated_Dept_Data[[#This Row],[SegmentID]],Table5[],2,FALSE)</f>
        <v>Core Customers</v>
      </c>
      <c r="F502">
        <v>3</v>
      </c>
      <c r="G502" t="str">
        <f>IFERROR(VLOOKUP(Simulated_Dept_Data[[#This Row],[ProfileID]],Table57[],2,FALSE),"NO PROFILE")</f>
        <v>Mr. &amp; Mrs. Smiths</v>
      </c>
      <c r="H502">
        <v>366578.09</v>
      </c>
      <c r="I502">
        <v>5546</v>
      </c>
    </row>
    <row r="503" spans="1:9" x14ac:dyDescent="0.25">
      <c r="A503" t="s">
        <v>12</v>
      </c>
      <c r="B503" t="str">
        <f>VLOOKUP(Simulated_Dept_Data[[#This Row],[DepartmentID]],Table578[],2,FALSE)</f>
        <v>Knick Knacks</v>
      </c>
      <c r="C503">
        <v>2022</v>
      </c>
      <c r="D503">
        <v>2</v>
      </c>
      <c r="E503" t="str">
        <f>VLOOKUP(Simulated_Dept_Data[[#This Row],[SegmentID]],Table5[],2,FALSE)</f>
        <v>Core Customers</v>
      </c>
      <c r="F503">
        <v>4</v>
      </c>
      <c r="G503" t="str">
        <f>IFERROR(VLOOKUP(Simulated_Dept_Data[[#This Row],[ProfileID]],Table57[],2,FALSE),"NO PROFILE")</f>
        <v>Blue Collar Royalty</v>
      </c>
      <c r="H503">
        <v>257.85000000000002</v>
      </c>
      <c r="I503">
        <v>147</v>
      </c>
    </row>
    <row r="504" spans="1:9" x14ac:dyDescent="0.25">
      <c r="A504" t="s">
        <v>12</v>
      </c>
      <c r="B504" t="str">
        <f>VLOOKUP(Simulated_Dept_Data[[#This Row],[DepartmentID]],Table578[],2,FALSE)</f>
        <v>Knick Knacks</v>
      </c>
      <c r="C504">
        <v>2022</v>
      </c>
      <c r="D504">
        <v>2</v>
      </c>
      <c r="E504" t="str">
        <f>VLOOKUP(Simulated_Dept_Data[[#This Row],[SegmentID]],Table5[],2,FALSE)</f>
        <v>Core Customers</v>
      </c>
      <c r="F504">
        <v>5</v>
      </c>
      <c r="G504" t="str">
        <f>IFERROR(VLOOKUP(Simulated_Dept_Data[[#This Row],[ProfileID]],Table57[],2,FALSE),"NO PROFILE")</f>
        <v>Pinched Pockets</v>
      </c>
      <c r="H504">
        <v>76147.44</v>
      </c>
      <c r="I504">
        <v>2528</v>
      </c>
    </row>
    <row r="505" spans="1:9" x14ac:dyDescent="0.25">
      <c r="A505" t="s">
        <v>12</v>
      </c>
      <c r="B505" t="str">
        <f>VLOOKUP(Simulated_Dept_Data[[#This Row],[DepartmentID]],Table578[],2,FALSE)</f>
        <v>Knick Knacks</v>
      </c>
      <c r="C505">
        <v>2022</v>
      </c>
      <c r="D505">
        <v>2</v>
      </c>
      <c r="E505" t="str">
        <f>VLOOKUP(Simulated_Dept_Data[[#This Row],[SegmentID]],Table5[],2,FALSE)</f>
        <v>Core Customers</v>
      </c>
      <c r="F505">
        <v>6</v>
      </c>
      <c r="G505" t="str">
        <f>IFERROR(VLOOKUP(Simulated_Dept_Data[[#This Row],[ProfileID]],Table57[],2,FALSE),"NO PROFILE")</f>
        <v>Normal Families</v>
      </c>
      <c r="H505">
        <v>45831.43</v>
      </c>
      <c r="I505">
        <v>1961</v>
      </c>
    </row>
    <row r="506" spans="1:9" x14ac:dyDescent="0.25">
      <c r="A506" t="s">
        <v>12</v>
      </c>
      <c r="B506" t="str">
        <f>VLOOKUP(Simulated_Dept_Data[[#This Row],[DepartmentID]],Table578[],2,FALSE)</f>
        <v>Knick Knacks</v>
      </c>
      <c r="C506">
        <v>2022</v>
      </c>
      <c r="D506">
        <v>3</v>
      </c>
      <c r="E506" t="str">
        <f>VLOOKUP(Simulated_Dept_Data[[#This Row],[SegmentID]],Table5[],2,FALSE)</f>
        <v>Power Shoppers</v>
      </c>
      <c r="G506" t="str">
        <f>IFERROR(VLOOKUP(Simulated_Dept_Data[[#This Row],[ProfileID]],Table57[],2,FALSE),"NO PROFILE")</f>
        <v>NO PROFILE</v>
      </c>
      <c r="H506">
        <v>77752.820000000007</v>
      </c>
      <c r="I506">
        <v>2512</v>
      </c>
    </row>
    <row r="507" spans="1:9" x14ac:dyDescent="0.25">
      <c r="A507" t="s">
        <v>12</v>
      </c>
      <c r="B507" t="str">
        <f>VLOOKUP(Simulated_Dept_Data[[#This Row],[DepartmentID]],Table578[],2,FALSE)</f>
        <v>Knick Knacks</v>
      </c>
      <c r="C507">
        <v>2022</v>
      </c>
      <c r="D507">
        <v>3</v>
      </c>
      <c r="E507" t="str">
        <f>VLOOKUP(Simulated_Dept_Data[[#This Row],[SegmentID]],Table5[],2,FALSE)</f>
        <v>Power Shoppers</v>
      </c>
      <c r="F507">
        <v>1</v>
      </c>
      <c r="G507" t="str">
        <f>IFERROR(VLOOKUP(Simulated_Dept_Data[[#This Row],[ProfileID]],Table57[],2,FALSE),"NO PROFILE")</f>
        <v>City Slickers</v>
      </c>
      <c r="H507">
        <v>372348.47</v>
      </c>
      <c r="I507">
        <v>5498</v>
      </c>
    </row>
    <row r="508" spans="1:9" x14ac:dyDescent="0.25">
      <c r="A508" t="s">
        <v>12</v>
      </c>
      <c r="B508" t="str">
        <f>VLOOKUP(Simulated_Dept_Data[[#This Row],[DepartmentID]],Table578[],2,FALSE)</f>
        <v>Knick Knacks</v>
      </c>
      <c r="C508">
        <v>2022</v>
      </c>
      <c r="D508">
        <v>3</v>
      </c>
      <c r="E508" t="str">
        <f>VLOOKUP(Simulated_Dept_Data[[#This Row],[SegmentID]],Table5[],2,FALSE)</f>
        <v>Power Shoppers</v>
      </c>
      <c r="F508">
        <v>2</v>
      </c>
      <c r="G508" t="str">
        <f>IFERROR(VLOOKUP(Simulated_Dept_Data[[#This Row],[ProfileID]],Table57[],2,FALSE),"NO PROFILE")</f>
        <v>Rich &amp; Richer</v>
      </c>
      <c r="H508">
        <v>50871.48</v>
      </c>
      <c r="I508">
        <v>2032</v>
      </c>
    </row>
    <row r="509" spans="1:9" x14ac:dyDescent="0.25">
      <c r="A509" t="s">
        <v>12</v>
      </c>
      <c r="B509" t="str">
        <f>VLOOKUP(Simulated_Dept_Data[[#This Row],[DepartmentID]],Table578[],2,FALSE)</f>
        <v>Knick Knacks</v>
      </c>
      <c r="C509">
        <v>2022</v>
      </c>
      <c r="D509">
        <v>3</v>
      </c>
      <c r="E509" t="str">
        <f>VLOOKUP(Simulated_Dept_Data[[#This Row],[SegmentID]],Table5[],2,FALSE)</f>
        <v>Power Shoppers</v>
      </c>
      <c r="F509">
        <v>3</v>
      </c>
      <c r="G509" t="str">
        <f>IFERROR(VLOOKUP(Simulated_Dept_Data[[#This Row],[ProfileID]],Table57[],2,FALSE),"NO PROFILE")</f>
        <v>Mr. &amp; Mrs. Smiths</v>
      </c>
      <c r="H509">
        <v>7292.57</v>
      </c>
      <c r="I509">
        <v>769</v>
      </c>
    </row>
    <row r="510" spans="1:9" x14ac:dyDescent="0.25">
      <c r="A510" t="s">
        <v>12</v>
      </c>
      <c r="B510" t="str">
        <f>VLOOKUP(Simulated_Dept_Data[[#This Row],[DepartmentID]],Table578[],2,FALSE)</f>
        <v>Knick Knacks</v>
      </c>
      <c r="C510">
        <v>2022</v>
      </c>
      <c r="D510">
        <v>3</v>
      </c>
      <c r="E510" t="str">
        <f>VLOOKUP(Simulated_Dept_Data[[#This Row],[SegmentID]],Table5[],2,FALSE)</f>
        <v>Power Shoppers</v>
      </c>
      <c r="F510">
        <v>4</v>
      </c>
      <c r="G510" t="str">
        <f>IFERROR(VLOOKUP(Simulated_Dept_Data[[#This Row],[ProfileID]],Table57[],2,FALSE),"NO PROFILE")</f>
        <v>Blue Collar Royalty</v>
      </c>
      <c r="H510">
        <v>219002.2</v>
      </c>
      <c r="I510">
        <v>4217</v>
      </c>
    </row>
    <row r="511" spans="1:9" x14ac:dyDescent="0.25">
      <c r="A511" t="s">
        <v>12</v>
      </c>
      <c r="B511" t="str">
        <f>VLOOKUP(Simulated_Dept_Data[[#This Row],[DepartmentID]],Table578[],2,FALSE)</f>
        <v>Knick Knacks</v>
      </c>
      <c r="C511">
        <v>2022</v>
      </c>
      <c r="D511">
        <v>3</v>
      </c>
      <c r="E511" t="str">
        <f>VLOOKUP(Simulated_Dept_Data[[#This Row],[SegmentID]],Table5[],2,FALSE)</f>
        <v>Power Shoppers</v>
      </c>
      <c r="F511">
        <v>5</v>
      </c>
      <c r="G511" t="str">
        <f>IFERROR(VLOOKUP(Simulated_Dept_Data[[#This Row],[ProfileID]],Table57[],2,FALSE),"NO PROFILE")</f>
        <v>Pinched Pockets</v>
      </c>
      <c r="H511">
        <v>79013.41</v>
      </c>
      <c r="I511">
        <v>2533</v>
      </c>
    </row>
    <row r="512" spans="1:9" x14ac:dyDescent="0.25">
      <c r="A512" t="s">
        <v>12</v>
      </c>
      <c r="B512" t="str">
        <f>VLOOKUP(Simulated_Dept_Data[[#This Row],[DepartmentID]],Table578[],2,FALSE)</f>
        <v>Knick Knacks</v>
      </c>
      <c r="C512">
        <v>2022</v>
      </c>
      <c r="D512">
        <v>3</v>
      </c>
      <c r="E512" t="str">
        <f>VLOOKUP(Simulated_Dept_Data[[#This Row],[SegmentID]],Table5[],2,FALSE)</f>
        <v>Power Shoppers</v>
      </c>
      <c r="F512">
        <v>6</v>
      </c>
      <c r="G512" t="str">
        <f>IFERROR(VLOOKUP(Simulated_Dept_Data[[#This Row],[ProfileID]],Table57[],2,FALSE),"NO PROFILE")</f>
        <v>Normal Families</v>
      </c>
      <c r="H512">
        <v>2289.98</v>
      </c>
      <c r="I512">
        <v>431</v>
      </c>
    </row>
    <row r="513" spans="1:9" x14ac:dyDescent="0.25">
      <c r="A513" t="s">
        <v>12</v>
      </c>
      <c r="B513" t="str">
        <f>VLOOKUP(Simulated_Dept_Data[[#This Row],[DepartmentID]],Table578[],2,FALSE)</f>
        <v>Knick Knacks</v>
      </c>
      <c r="C513">
        <v>2022</v>
      </c>
      <c r="D513">
        <v>4</v>
      </c>
      <c r="E513" t="str">
        <f>VLOOKUP(Simulated_Dept_Data[[#This Row],[SegmentID]],Table5[],2,FALSE)</f>
        <v>Infrequent Customers</v>
      </c>
      <c r="G513" t="str">
        <f>IFERROR(VLOOKUP(Simulated_Dept_Data[[#This Row],[ProfileID]],Table57[],2,FALSE),"NO PROFILE")</f>
        <v>NO PROFILE</v>
      </c>
      <c r="H513">
        <v>75571.58</v>
      </c>
      <c r="I513">
        <v>2481</v>
      </c>
    </row>
    <row r="514" spans="1:9" x14ac:dyDescent="0.25">
      <c r="A514" t="s">
        <v>12</v>
      </c>
      <c r="B514" t="str">
        <f>VLOOKUP(Simulated_Dept_Data[[#This Row],[DepartmentID]],Table578[],2,FALSE)</f>
        <v>Knick Knacks</v>
      </c>
      <c r="C514">
        <v>2022</v>
      </c>
      <c r="D514">
        <v>4</v>
      </c>
      <c r="E514" t="str">
        <f>VLOOKUP(Simulated_Dept_Data[[#This Row],[SegmentID]],Table5[],2,FALSE)</f>
        <v>Infrequent Customers</v>
      </c>
      <c r="F514">
        <v>1</v>
      </c>
      <c r="G514" t="str">
        <f>IFERROR(VLOOKUP(Simulated_Dept_Data[[#This Row],[ProfileID]],Table57[],2,FALSE),"NO PROFILE")</f>
        <v>City Slickers</v>
      </c>
      <c r="H514">
        <v>303977.12</v>
      </c>
      <c r="I514">
        <v>4975</v>
      </c>
    </row>
    <row r="515" spans="1:9" x14ac:dyDescent="0.25">
      <c r="A515" t="s">
        <v>12</v>
      </c>
      <c r="B515" t="str">
        <f>VLOOKUP(Simulated_Dept_Data[[#This Row],[DepartmentID]],Table578[],2,FALSE)</f>
        <v>Knick Knacks</v>
      </c>
      <c r="C515">
        <v>2022</v>
      </c>
      <c r="D515">
        <v>4</v>
      </c>
      <c r="E515" t="str">
        <f>VLOOKUP(Simulated_Dept_Data[[#This Row],[SegmentID]],Table5[],2,FALSE)</f>
        <v>Infrequent Customers</v>
      </c>
      <c r="F515">
        <v>2</v>
      </c>
      <c r="G515" t="str">
        <f>IFERROR(VLOOKUP(Simulated_Dept_Data[[#This Row],[ProfileID]],Table57[],2,FALSE),"NO PROFILE")</f>
        <v>Rich &amp; Richer</v>
      </c>
      <c r="H515">
        <v>7090.64</v>
      </c>
      <c r="I515">
        <v>760</v>
      </c>
    </row>
    <row r="516" spans="1:9" x14ac:dyDescent="0.25">
      <c r="A516" t="s">
        <v>12</v>
      </c>
      <c r="B516" t="str">
        <f>VLOOKUP(Simulated_Dept_Data[[#This Row],[DepartmentID]],Table578[],2,FALSE)</f>
        <v>Knick Knacks</v>
      </c>
      <c r="C516">
        <v>2022</v>
      </c>
      <c r="D516">
        <v>4</v>
      </c>
      <c r="E516" t="str">
        <f>VLOOKUP(Simulated_Dept_Data[[#This Row],[SegmentID]],Table5[],2,FALSE)</f>
        <v>Infrequent Customers</v>
      </c>
      <c r="F516">
        <v>3</v>
      </c>
      <c r="G516" t="str">
        <f>IFERROR(VLOOKUP(Simulated_Dept_Data[[#This Row],[ProfileID]],Table57[],2,FALSE),"NO PROFILE")</f>
        <v>Mr. &amp; Mrs. Smiths</v>
      </c>
      <c r="H516">
        <v>59954.26</v>
      </c>
      <c r="I516">
        <v>2210</v>
      </c>
    </row>
    <row r="517" spans="1:9" x14ac:dyDescent="0.25">
      <c r="A517" t="s">
        <v>12</v>
      </c>
      <c r="B517" t="str">
        <f>VLOOKUP(Simulated_Dept_Data[[#This Row],[DepartmentID]],Table578[],2,FALSE)</f>
        <v>Knick Knacks</v>
      </c>
      <c r="C517">
        <v>2022</v>
      </c>
      <c r="D517">
        <v>4</v>
      </c>
      <c r="E517" t="str">
        <f>VLOOKUP(Simulated_Dept_Data[[#This Row],[SegmentID]],Table5[],2,FALSE)</f>
        <v>Infrequent Customers</v>
      </c>
      <c r="F517">
        <v>4</v>
      </c>
      <c r="G517" t="str">
        <f>IFERROR(VLOOKUP(Simulated_Dept_Data[[#This Row],[ProfileID]],Table57[],2,FALSE),"NO PROFILE")</f>
        <v>Blue Collar Royalty</v>
      </c>
      <c r="H517">
        <v>283443.63</v>
      </c>
      <c r="I517">
        <v>4804</v>
      </c>
    </row>
    <row r="518" spans="1:9" x14ac:dyDescent="0.25">
      <c r="A518" t="s">
        <v>12</v>
      </c>
      <c r="B518" t="str">
        <f>VLOOKUP(Simulated_Dept_Data[[#This Row],[DepartmentID]],Table578[],2,FALSE)</f>
        <v>Knick Knacks</v>
      </c>
      <c r="C518">
        <v>2022</v>
      </c>
      <c r="D518">
        <v>4</v>
      </c>
      <c r="E518" t="str">
        <f>VLOOKUP(Simulated_Dept_Data[[#This Row],[SegmentID]],Table5[],2,FALSE)</f>
        <v>Infrequent Customers</v>
      </c>
      <c r="F518">
        <v>5</v>
      </c>
      <c r="G518" t="str">
        <f>IFERROR(VLOOKUP(Simulated_Dept_Data[[#This Row],[ProfileID]],Table57[],2,FALSE),"NO PROFILE")</f>
        <v>Pinched Pockets</v>
      </c>
      <c r="H518">
        <v>603.4</v>
      </c>
      <c r="I518">
        <v>222</v>
      </c>
    </row>
    <row r="519" spans="1:9" x14ac:dyDescent="0.25">
      <c r="A519" t="s">
        <v>12</v>
      </c>
      <c r="B519" t="str">
        <f>VLOOKUP(Simulated_Dept_Data[[#This Row],[DepartmentID]],Table578[],2,FALSE)</f>
        <v>Knick Knacks</v>
      </c>
      <c r="C519">
        <v>2022</v>
      </c>
      <c r="D519">
        <v>4</v>
      </c>
      <c r="E519" t="str">
        <f>VLOOKUP(Simulated_Dept_Data[[#This Row],[SegmentID]],Table5[],2,FALSE)</f>
        <v>Infrequent Customers</v>
      </c>
      <c r="F519">
        <v>6</v>
      </c>
      <c r="G519" t="str">
        <f>IFERROR(VLOOKUP(Simulated_Dept_Data[[#This Row],[ProfileID]],Table57[],2,FALSE),"NO PROFILE")</f>
        <v>Normal Families</v>
      </c>
      <c r="H519">
        <v>30475.14</v>
      </c>
      <c r="I519">
        <v>1575</v>
      </c>
    </row>
    <row r="520" spans="1:9" x14ac:dyDescent="0.25">
      <c r="A520" t="s">
        <v>12</v>
      </c>
      <c r="B520" t="str">
        <f>VLOOKUP(Simulated_Dept_Data[[#This Row],[DepartmentID]],Table578[],2,FALSE)</f>
        <v>Knick Knacks</v>
      </c>
      <c r="C520">
        <v>2022</v>
      </c>
      <c r="D520">
        <v>5</v>
      </c>
      <c r="E520" t="str">
        <f>VLOOKUP(Simulated_Dept_Data[[#This Row],[SegmentID]],Table5[],2,FALSE)</f>
        <v>New Customers</v>
      </c>
      <c r="G520" t="str">
        <f>IFERROR(VLOOKUP(Simulated_Dept_Data[[#This Row],[ProfileID]],Table57[],2,FALSE),"NO PROFILE")</f>
        <v>NO PROFILE</v>
      </c>
      <c r="H520">
        <v>259974.35</v>
      </c>
      <c r="I520">
        <v>4487</v>
      </c>
    </row>
    <row r="521" spans="1:9" x14ac:dyDescent="0.25">
      <c r="A521" t="s">
        <v>12</v>
      </c>
      <c r="B521" t="str">
        <f>VLOOKUP(Simulated_Dept_Data[[#This Row],[DepartmentID]],Table578[],2,FALSE)</f>
        <v>Knick Knacks</v>
      </c>
      <c r="C521">
        <v>2022</v>
      </c>
      <c r="D521">
        <v>5</v>
      </c>
      <c r="E521" t="str">
        <f>VLOOKUP(Simulated_Dept_Data[[#This Row],[SegmentID]],Table5[],2,FALSE)</f>
        <v>New Customers</v>
      </c>
      <c r="F521">
        <v>1</v>
      </c>
      <c r="G521" t="str">
        <f>IFERROR(VLOOKUP(Simulated_Dept_Data[[#This Row],[ProfileID]],Table57[],2,FALSE),"NO PROFILE")</f>
        <v>City Slickers</v>
      </c>
      <c r="H521">
        <v>87667.92</v>
      </c>
      <c r="I521">
        <v>2606</v>
      </c>
    </row>
    <row r="522" spans="1:9" x14ac:dyDescent="0.25">
      <c r="A522" t="s">
        <v>12</v>
      </c>
      <c r="B522" t="str">
        <f>VLOOKUP(Simulated_Dept_Data[[#This Row],[DepartmentID]],Table578[],2,FALSE)</f>
        <v>Knick Knacks</v>
      </c>
      <c r="C522">
        <v>2022</v>
      </c>
      <c r="D522">
        <v>5</v>
      </c>
      <c r="E522" t="str">
        <f>VLOOKUP(Simulated_Dept_Data[[#This Row],[SegmentID]],Table5[],2,FALSE)</f>
        <v>New Customers</v>
      </c>
      <c r="F522">
        <v>2</v>
      </c>
      <c r="G522" t="str">
        <f>IFERROR(VLOOKUP(Simulated_Dept_Data[[#This Row],[ProfileID]],Table57[],2,FALSE),"NO PROFILE")</f>
        <v>Rich &amp; Richer</v>
      </c>
      <c r="H522">
        <v>188423.15</v>
      </c>
      <c r="I522">
        <v>3820</v>
      </c>
    </row>
    <row r="523" spans="1:9" x14ac:dyDescent="0.25">
      <c r="A523" t="s">
        <v>12</v>
      </c>
      <c r="B523" t="str">
        <f>VLOOKUP(Simulated_Dept_Data[[#This Row],[DepartmentID]],Table578[],2,FALSE)</f>
        <v>Knick Knacks</v>
      </c>
      <c r="C523">
        <v>2022</v>
      </c>
      <c r="D523">
        <v>5</v>
      </c>
      <c r="E523" t="str">
        <f>VLOOKUP(Simulated_Dept_Data[[#This Row],[SegmentID]],Table5[],2,FALSE)</f>
        <v>New Customers</v>
      </c>
      <c r="F523">
        <v>3</v>
      </c>
      <c r="G523" t="str">
        <f>IFERROR(VLOOKUP(Simulated_Dept_Data[[#This Row],[ProfileID]],Table57[],2,FALSE),"NO PROFILE")</f>
        <v>Mr. &amp; Mrs. Smiths</v>
      </c>
      <c r="H523">
        <v>288239.86</v>
      </c>
      <c r="I523">
        <v>4724</v>
      </c>
    </row>
    <row r="524" spans="1:9" x14ac:dyDescent="0.25">
      <c r="A524" t="s">
        <v>12</v>
      </c>
      <c r="B524" t="str">
        <f>VLOOKUP(Simulated_Dept_Data[[#This Row],[DepartmentID]],Table578[],2,FALSE)</f>
        <v>Knick Knacks</v>
      </c>
      <c r="C524">
        <v>2022</v>
      </c>
      <c r="D524">
        <v>5</v>
      </c>
      <c r="E524" t="str">
        <f>VLOOKUP(Simulated_Dept_Data[[#This Row],[SegmentID]],Table5[],2,FALSE)</f>
        <v>New Customers</v>
      </c>
      <c r="F524">
        <v>4</v>
      </c>
      <c r="G524" t="str">
        <f>IFERROR(VLOOKUP(Simulated_Dept_Data[[#This Row],[ProfileID]],Table57[],2,FALSE),"NO PROFILE")</f>
        <v>Blue Collar Royalty</v>
      </c>
      <c r="H524">
        <v>359.27</v>
      </c>
      <c r="I524">
        <v>167</v>
      </c>
    </row>
    <row r="525" spans="1:9" x14ac:dyDescent="0.25">
      <c r="A525" t="s">
        <v>12</v>
      </c>
      <c r="B525" t="str">
        <f>VLOOKUP(Simulated_Dept_Data[[#This Row],[DepartmentID]],Table578[],2,FALSE)</f>
        <v>Knick Knacks</v>
      </c>
      <c r="C525">
        <v>2022</v>
      </c>
      <c r="D525">
        <v>5</v>
      </c>
      <c r="E525" t="str">
        <f>VLOOKUP(Simulated_Dept_Data[[#This Row],[SegmentID]],Table5[],2,FALSE)</f>
        <v>New Customers</v>
      </c>
      <c r="F525">
        <v>5</v>
      </c>
      <c r="G525" t="str">
        <f>IFERROR(VLOOKUP(Simulated_Dept_Data[[#This Row],[ProfileID]],Table57[],2,FALSE),"NO PROFILE")</f>
        <v>Pinched Pockets</v>
      </c>
      <c r="H525">
        <v>438.1</v>
      </c>
      <c r="I525">
        <v>184</v>
      </c>
    </row>
    <row r="526" spans="1:9" x14ac:dyDescent="0.25">
      <c r="A526" t="s">
        <v>12</v>
      </c>
      <c r="B526" t="str">
        <f>VLOOKUP(Simulated_Dept_Data[[#This Row],[DepartmentID]],Table578[],2,FALSE)</f>
        <v>Knick Knacks</v>
      </c>
      <c r="C526">
        <v>2022</v>
      </c>
      <c r="D526">
        <v>5</v>
      </c>
      <c r="E526" t="str">
        <f>VLOOKUP(Simulated_Dept_Data[[#This Row],[SegmentID]],Table5[],2,FALSE)</f>
        <v>New Customers</v>
      </c>
      <c r="F526">
        <v>6</v>
      </c>
      <c r="G526" t="str">
        <f>IFERROR(VLOOKUP(Simulated_Dept_Data[[#This Row],[ProfileID]],Table57[],2,FALSE),"NO PROFILE")</f>
        <v>Normal Families</v>
      </c>
      <c r="H526">
        <v>2188.48</v>
      </c>
      <c r="I526">
        <v>412</v>
      </c>
    </row>
    <row r="527" spans="1:9" x14ac:dyDescent="0.25">
      <c r="A527" t="s">
        <v>12</v>
      </c>
      <c r="B527" t="str">
        <f>VLOOKUP(Simulated_Dept_Data[[#This Row],[DepartmentID]],Table578[],2,FALSE)</f>
        <v>Knick Knacks</v>
      </c>
      <c r="C527">
        <v>2023</v>
      </c>
      <c r="D527">
        <v>1</v>
      </c>
      <c r="E527" t="str">
        <f>VLOOKUP(Simulated_Dept_Data[[#This Row],[SegmentID]],Table5[],2,FALSE)</f>
        <v>Elite Customers</v>
      </c>
      <c r="G527" t="str">
        <f>IFERROR(VLOOKUP(Simulated_Dept_Data[[#This Row],[ProfileID]],Table57[],2,FALSE),"NO PROFILE")</f>
        <v>NO PROFILE</v>
      </c>
      <c r="H527">
        <v>24600</v>
      </c>
      <c r="I527">
        <v>746</v>
      </c>
    </row>
    <row r="528" spans="1:9" x14ac:dyDescent="0.25">
      <c r="A528" t="s">
        <v>12</v>
      </c>
      <c r="B528" t="str">
        <f>VLOOKUP(Simulated_Dept_Data[[#This Row],[DepartmentID]],Table578[],2,FALSE)</f>
        <v>Knick Knacks</v>
      </c>
      <c r="C528">
        <v>2023</v>
      </c>
      <c r="D528">
        <v>1</v>
      </c>
      <c r="E528" t="str">
        <f>VLOOKUP(Simulated_Dept_Data[[#This Row],[SegmentID]],Table5[],2,FALSE)</f>
        <v>Elite Customers</v>
      </c>
      <c r="F528">
        <v>1</v>
      </c>
      <c r="G528" t="str">
        <f>IFERROR(VLOOKUP(Simulated_Dept_Data[[#This Row],[ProfileID]],Table57[],2,FALSE),"NO PROFILE")</f>
        <v>City Slickers</v>
      </c>
      <c r="H528">
        <v>82000</v>
      </c>
      <c r="I528">
        <v>1492</v>
      </c>
    </row>
    <row r="529" spans="1:9" x14ac:dyDescent="0.25">
      <c r="A529" t="s">
        <v>12</v>
      </c>
      <c r="B529" t="str">
        <f>VLOOKUP(Simulated_Dept_Data[[#This Row],[DepartmentID]],Table578[],2,FALSE)</f>
        <v>Knick Knacks</v>
      </c>
      <c r="C529">
        <v>2023</v>
      </c>
      <c r="D529">
        <v>1</v>
      </c>
      <c r="E529" t="str">
        <f>VLOOKUP(Simulated_Dept_Data[[#This Row],[SegmentID]],Table5[],2,FALSE)</f>
        <v>Elite Customers</v>
      </c>
      <c r="F529">
        <v>2</v>
      </c>
      <c r="G529" t="str">
        <f>IFERROR(VLOOKUP(Simulated_Dept_Data[[#This Row],[ProfileID]],Table57[],2,FALSE),"NO PROFILE")</f>
        <v>Rich &amp; Richer</v>
      </c>
      <c r="H529">
        <v>94300</v>
      </c>
      <c r="I529">
        <v>1492</v>
      </c>
    </row>
    <row r="530" spans="1:9" x14ac:dyDescent="0.25">
      <c r="A530" t="s">
        <v>12</v>
      </c>
      <c r="B530" t="str">
        <f>VLOOKUP(Simulated_Dept_Data[[#This Row],[DepartmentID]],Table578[],2,FALSE)</f>
        <v>Knick Knacks</v>
      </c>
      <c r="C530">
        <v>2023</v>
      </c>
      <c r="D530">
        <v>1</v>
      </c>
      <c r="E530" t="str">
        <f>VLOOKUP(Simulated_Dept_Data[[#This Row],[SegmentID]],Table5[],2,FALSE)</f>
        <v>Elite Customers</v>
      </c>
      <c r="F530">
        <v>3</v>
      </c>
      <c r="G530" t="str">
        <f>IFERROR(VLOOKUP(Simulated_Dept_Data[[#This Row],[ProfileID]],Table57[],2,FALSE),"NO PROFILE")</f>
        <v>Mr. &amp; Mrs. Smiths</v>
      </c>
      <c r="H530">
        <v>94300</v>
      </c>
      <c r="I530">
        <v>1492</v>
      </c>
    </row>
    <row r="531" spans="1:9" x14ac:dyDescent="0.25">
      <c r="A531" t="s">
        <v>12</v>
      </c>
      <c r="B531" t="str">
        <f>VLOOKUP(Simulated_Dept_Data[[#This Row],[DepartmentID]],Table578[],2,FALSE)</f>
        <v>Knick Knacks</v>
      </c>
      <c r="C531">
        <v>2023</v>
      </c>
      <c r="D531">
        <v>1</v>
      </c>
      <c r="E531" t="str">
        <f>VLOOKUP(Simulated_Dept_Data[[#This Row],[SegmentID]],Table5[],2,FALSE)</f>
        <v>Elite Customers</v>
      </c>
      <c r="F531">
        <v>4</v>
      </c>
      <c r="G531" t="str">
        <f>IFERROR(VLOOKUP(Simulated_Dept_Data[[#This Row],[ProfileID]],Table57[],2,FALSE),"NO PROFILE")</f>
        <v>Blue Collar Royalty</v>
      </c>
      <c r="H531">
        <v>24600</v>
      </c>
      <c r="I531">
        <v>746</v>
      </c>
    </row>
    <row r="532" spans="1:9" x14ac:dyDescent="0.25">
      <c r="A532" t="s">
        <v>12</v>
      </c>
      <c r="B532" t="str">
        <f>VLOOKUP(Simulated_Dept_Data[[#This Row],[DepartmentID]],Table578[],2,FALSE)</f>
        <v>Knick Knacks</v>
      </c>
      <c r="C532">
        <v>2023</v>
      </c>
      <c r="D532">
        <v>1</v>
      </c>
      <c r="E532" t="str">
        <f>VLOOKUP(Simulated_Dept_Data[[#This Row],[SegmentID]],Table5[],2,FALSE)</f>
        <v>Elite Customers</v>
      </c>
      <c r="F532">
        <v>5</v>
      </c>
      <c r="G532" t="str">
        <f>IFERROR(VLOOKUP(Simulated_Dept_Data[[#This Row],[ProfileID]],Table57[],2,FALSE),"NO PROFILE")</f>
        <v>Pinched Pockets</v>
      </c>
      <c r="H532">
        <v>123000</v>
      </c>
      <c r="I532">
        <v>1865</v>
      </c>
    </row>
    <row r="533" spans="1:9" x14ac:dyDescent="0.25">
      <c r="A533" t="s">
        <v>12</v>
      </c>
      <c r="B533" t="str">
        <f>VLOOKUP(Simulated_Dept_Data[[#This Row],[DepartmentID]],Table578[],2,FALSE)</f>
        <v>Knick Knacks</v>
      </c>
      <c r="C533">
        <v>2023</v>
      </c>
      <c r="D533">
        <v>1</v>
      </c>
      <c r="E533" t="str">
        <f>VLOOKUP(Simulated_Dept_Data[[#This Row],[SegmentID]],Table5[],2,FALSE)</f>
        <v>Elite Customers</v>
      </c>
      <c r="F533">
        <v>6</v>
      </c>
      <c r="G533" t="str">
        <f>IFERROR(VLOOKUP(Simulated_Dept_Data[[#This Row],[ProfileID]],Table57[],2,FALSE),"NO PROFILE")</f>
        <v>Normal Families</v>
      </c>
      <c r="H533">
        <v>20500</v>
      </c>
      <c r="I533">
        <v>746</v>
      </c>
    </row>
    <row r="534" spans="1:9" x14ac:dyDescent="0.25">
      <c r="A534" t="s">
        <v>12</v>
      </c>
      <c r="B534" t="str">
        <f>VLOOKUP(Simulated_Dept_Data[[#This Row],[DepartmentID]],Table578[],2,FALSE)</f>
        <v>Knick Knacks</v>
      </c>
      <c r="C534">
        <v>2023</v>
      </c>
      <c r="D534">
        <v>2</v>
      </c>
      <c r="E534" t="str">
        <f>VLOOKUP(Simulated_Dept_Data[[#This Row],[SegmentID]],Table5[],2,FALSE)</f>
        <v>Core Customers</v>
      </c>
      <c r="G534" t="str">
        <f>IFERROR(VLOOKUP(Simulated_Dept_Data[[#This Row],[ProfileID]],Table57[],2,FALSE),"NO PROFILE")</f>
        <v>NO PROFILE</v>
      </c>
      <c r="H534">
        <v>135300</v>
      </c>
      <c r="I534">
        <v>1865</v>
      </c>
    </row>
    <row r="535" spans="1:9" x14ac:dyDescent="0.25">
      <c r="A535" t="s">
        <v>12</v>
      </c>
      <c r="B535" t="str">
        <f>VLOOKUP(Simulated_Dept_Data[[#This Row],[DepartmentID]],Table578[],2,FALSE)</f>
        <v>Knick Knacks</v>
      </c>
      <c r="C535">
        <v>2023</v>
      </c>
      <c r="D535">
        <v>2</v>
      </c>
      <c r="E535" t="str">
        <f>VLOOKUP(Simulated_Dept_Data[[#This Row],[SegmentID]],Table5[],2,FALSE)</f>
        <v>Core Customers</v>
      </c>
      <c r="F535">
        <v>1</v>
      </c>
      <c r="G535" t="str">
        <f>IFERROR(VLOOKUP(Simulated_Dept_Data[[#This Row],[ProfileID]],Table57[],2,FALSE),"NO PROFILE")</f>
        <v>City Slickers</v>
      </c>
      <c r="H535">
        <v>32800</v>
      </c>
      <c r="I535">
        <v>1119</v>
      </c>
    </row>
    <row r="536" spans="1:9" x14ac:dyDescent="0.25">
      <c r="A536" t="s">
        <v>12</v>
      </c>
      <c r="B536" t="str">
        <f>VLOOKUP(Simulated_Dept_Data[[#This Row],[DepartmentID]],Table578[],2,FALSE)</f>
        <v>Knick Knacks</v>
      </c>
      <c r="C536">
        <v>2023</v>
      </c>
      <c r="D536">
        <v>2</v>
      </c>
      <c r="E536" t="str">
        <f>VLOOKUP(Simulated_Dept_Data[[#This Row],[SegmentID]],Table5[],2,FALSE)</f>
        <v>Core Customers</v>
      </c>
      <c r="F536">
        <v>2</v>
      </c>
      <c r="G536" t="str">
        <f>IFERROR(VLOOKUP(Simulated_Dept_Data[[#This Row],[ProfileID]],Table57[],2,FALSE),"NO PROFILE")</f>
        <v>Rich &amp; Richer</v>
      </c>
      <c r="H536">
        <v>53300</v>
      </c>
      <c r="I536">
        <v>1119</v>
      </c>
    </row>
    <row r="537" spans="1:9" x14ac:dyDescent="0.25">
      <c r="A537" t="s">
        <v>12</v>
      </c>
      <c r="B537" t="str">
        <f>VLOOKUP(Simulated_Dept_Data[[#This Row],[DepartmentID]],Table578[],2,FALSE)</f>
        <v>Knick Knacks</v>
      </c>
      <c r="C537">
        <v>2023</v>
      </c>
      <c r="D537">
        <v>2</v>
      </c>
      <c r="E537" t="str">
        <f>VLOOKUP(Simulated_Dept_Data[[#This Row],[SegmentID]],Table5[],2,FALSE)</f>
        <v>Core Customers</v>
      </c>
      <c r="F537">
        <v>3</v>
      </c>
      <c r="G537" t="str">
        <f>IFERROR(VLOOKUP(Simulated_Dept_Data[[#This Row],[ProfileID]],Table57[],2,FALSE),"NO PROFILE")</f>
        <v>Mr. &amp; Mrs. Smiths</v>
      </c>
      <c r="H537">
        <v>114800.00000000001</v>
      </c>
      <c r="I537">
        <v>1865</v>
      </c>
    </row>
    <row r="538" spans="1:9" x14ac:dyDescent="0.25">
      <c r="A538" t="s">
        <v>12</v>
      </c>
      <c r="B538" t="str">
        <f>VLOOKUP(Simulated_Dept_Data[[#This Row],[DepartmentID]],Table578[],2,FALSE)</f>
        <v>Knick Knacks</v>
      </c>
      <c r="C538">
        <v>2023</v>
      </c>
      <c r="D538">
        <v>2</v>
      </c>
      <c r="E538" t="str">
        <f>VLOOKUP(Simulated_Dept_Data[[#This Row],[SegmentID]],Table5[],2,FALSE)</f>
        <v>Core Customers</v>
      </c>
      <c r="F538">
        <v>4</v>
      </c>
      <c r="G538" t="str">
        <f>IFERROR(VLOOKUP(Simulated_Dept_Data[[#This Row],[ProfileID]],Table57[],2,FALSE),"NO PROFILE")</f>
        <v>Blue Collar Royalty</v>
      </c>
      <c r="H538">
        <v>0</v>
      </c>
      <c r="I538">
        <v>0</v>
      </c>
    </row>
    <row r="539" spans="1:9" x14ac:dyDescent="0.25">
      <c r="A539" t="s">
        <v>12</v>
      </c>
      <c r="B539" t="str">
        <f>VLOOKUP(Simulated_Dept_Data[[#This Row],[DepartmentID]],Table578[],2,FALSE)</f>
        <v>Knick Knacks</v>
      </c>
      <c r="C539">
        <v>2023</v>
      </c>
      <c r="D539">
        <v>2</v>
      </c>
      <c r="E539" t="str">
        <f>VLOOKUP(Simulated_Dept_Data[[#This Row],[SegmentID]],Table5[],2,FALSE)</f>
        <v>Core Customers</v>
      </c>
      <c r="F539">
        <v>5</v>
      </c>
      <c r="G539" t="str">
        <f>IFERROR(VLOOKUP(Simulated_Dept_Data[[#This Row],[ProfileID]],Table57[],2,FALSE),"NO PROFILE")</f>
        <v>Pinched Pockets</v>
      </c>
      <c r="H539">
        <v>24600</v>
      </c>
      <c r="I539">
        <v>746</v>
      </c>
    </row>
    <row r="540" spans="1:9" x14ac:dyDescent="0.25">
      <c r="A540" t="s">
        <v>12</v>
      </c>
      <c r="B540" t="str">
        <f>VLOOKUP(Simulated_Dept_Data[[#This Row],[DepartmentID]],Table578[],2,FALSE)</f>
        <v>Knick Knacks</v>
      </c>
      <c r="C540">
        <v>2023</v>
      </c>
      <c r="D540">
        <v>2</v>
      </c>
      <c r="E540" t="str">
        <f>VLOOKUP(Simulated_Dept_Data[[#This Row],[SegmentID]],Table5[],2,FALSE)</f>
        <v>Core Customers</v>
      </c>
      <c r="F540">
        <v>6</v>
      </c>
      <c r="G540" t="str">
        <f>IFERROR(VLOOKUP(Simulated_Dept_Data[[#This Row],[ProfileID]],Table57[],2,FALSE),"NO PROFILE")</f>
        <v>Normal Families</v>
      </c>
      <c r="H540">
        <v>12300</v>
      </c>
      <c r="I540">
        <v>746</v>
      </c>
    </row>
    <row r="541" spans="1:9" x14ac:dyDescent="0.25">
      <c r="A541" t="s">
        <v>12</v>
      </c>
      <c r="B541" t="str">
        <f>VLOOKUP(Simulated_Dept_Data[[#This Row],[DepartmentID]],Table578[],2,FALSE)</f>
        <v>Knick Knacks</v>
      </c>
      <c r="C541">
        <v>2023</v>
      </c>
      <c r="D541">
        <v>3</v>
      </c>
      <c r="E541" t="str">
        <f>VLOOKUP(Simulated_Dept_Data[[#This Row],[SegmentID]],Table5[],2,FALSE)</f>
        <v>Power Shoppers</v>
      </c>
      <c r="G541" t="str">
        <f>IFERROR(VLOOKUP(Simulated_Dept_Data[[#This Row],[ProfileID]],Table57[],2,FALSE),"NO PROFILE")</f>
        <v>NO PROFILE</v>
      </c>
      <c r="H541">
        <v>24600</v>
      </c>
      <c r="I541">
        <v>746</v>
      </c>
    </row>
    <row r="542" spans="1:9" x14ac:dyDescent="0.25">
      <c r="A542" t="s">
        <v>12</v>
      </c>
      <c r="B542" t="str">
        <f>VLOOKUP(Simulated_Dept_Data[[#This Row],[DepartmentID]],Table578[],2,FALSE)</f>
        <v>Knick Knacks</v>
      </c>
      <c r="C542">
        <v>2023</v>
      </c>
      <c r="D542">
        <v>3</v>
      </c>
      <c r="E542" t="str">
        <f>VLOOKUP(Simulated_Dept_Data[[#This Row],[SegmentID]],Table5[],2,FALSE)</f>
        <v>Power Shoppers</v>
      </c>
      <c r="F542">
        <v>1</v>
      </c>
      <c r="G542" t="str">
        <f>IFERROR(VLOOKUP(Simulated_Dept_Data[[#This Row],[ProfileID]],Table57[],2,FALSE),"NO PROFILE")</f>
        <v>City Slickers</v>
      </c>
      <c r="H542">
        <v>118899.99999999999</v>
      </c>
      <c r="I542">
        <v>1865</v>
      </c>
    </row>
    <row r="543" spans="1:9" x14ac:dyDescent="0.25">
      <c r="A543" t="s">
        <v>12</v>
      </c>
      <c r="B543" t="str">
        <f>VLOOKUP(Simulated_Dept_Data[[#This Row],[DepartmentID]],Table578[],2,FALSE)</f>
        <v>Knick Knacks</v>
      </c>
      <c r="C543">
        <v>2023</v>
      </c>
      <c r="D543">
        <v>3</v>
      </c>
      <c r="E543" t="str">
        <f>VLOOKUP(Simulated_Dept_Data[[#This Row],[SegmentID]],Table5[],2,FALSE)</f>
        <v>Power Shoppers</v>
      </c>
      <c r="F543">
        <v>2</v>
      </c>
      <c r="G543" t="str">
        <f>IFERROR(VLOOKUP(Simulated_Dept_Data[[#This Row],[ProfileID]],Table57[],2,FALSE),"NO PROFILE")</f>
        <v>Rich &amp; Richer</v>
      </c>
      <c r="H543">
        <v>16400</v>
      </c>
      <c r="I543">
        <v>746</v>
      </c>
    </row>
    <row r="544" spans="1:9" x14ac:dyDescent="0.25">
      <c r="A544" t="s">
        <v>12</v>
      </c>
      <c r="B544" t="str">
        <f>VLOOKUP(Simulated_Dept_Data[[#This Row],[DepartmentID]],Table578[],2,FALSE)</f>
        <v>Knick Knacks</v>
      </c>
      <c r="C544">
        <v>2023</v>
      </c>
      <c r="D544">
        <v>3</v>
      </c>
      <c r="E544" t="str">
        <f>VLOOKUP(Simulated_Dept_Data[[#This Row],[SegmentID]],Table5[],2,FALSE)</f>
        <v>Power Shoppers</v>
      </c>
      <c r="F544">
        <v>3</v>
      </c>
      <c r="G544" t="str">
        <f>IFERROR(VLOOKUP(Simulated_Dept_Data[[#This Row],[ProfileID]],Table57[],2,FALSE),"NO PROFILE")</f>
        <v>Mr. &amp; Mrs. Smiths</v>
      </c>
      <c r="H544">
        <v>4100</v>
      </c>
      <c r="I544">
        <v>373</v>
      </c>
    </row>
    <row r="545" spans="1:9" x14ac:dyDescent="0.25">
      <c r="A545" t="s">
        <v>12</v>
      </c>
      <c r="B545" t="str">
        <f>VLOOKUP(Simulated_Dept_Data[[#This Row],[DepartmentID]],Table578[],2,FALSE)</f>
        <v>Knick Knacks</v>
      </c>
      <c r="C545">
        <v>2023</v>
      </c>
      <c r="D545">
        <v>3</v>
      </c>
      <c r="E545" t="str">
        <f>VLOOKUP(Simulated_Dept_Data[[#This Row],[SegmentID]],Table5[],2,FALSE)</f>
        <v>Power Shoppers</v>
      </c>
      <c r="F545">
        <v>4</v>
      </c>
      <c r="G545" t="str">
        <f>IFERROR(VLOOKUP(Simulated_Dept_Data[[#This Row],[ProfileID]],Table57[],2,FALSE),"NO PROFILE")</f>
        <v>Blue Collar Royalty</v>
      </c>
      <c r="H545">
        <v>69700</v>
      </c>
      <c r="I545">
        <v>1492</v>
      </c>
    </row>
    <row r="546" spans="1:9" x14ac:dyDescent="0.25">
      <c r="A546" t="s">
        <v>12</v>
      </c>
      <c r="B546" t="str">
        <f>VLOOKUP(Simulated_Dept_Data[[#This Row],[DepartmentID]],Table578[],2,FALSE)</f>
        <v>Knick Knacks</v>
      </c>
      <c r="C546">
        <v>2023</v>
      </c>
      <c r="D546">
        <v>3</v>
      </c>
      <c r="E546" t="str">
        <f>VLOOKUP(Simulated_Dept_Data[[#This Row],[SegmentID]],Table5[],2,FALSE)</f>
        <v>Power Shoppers</v>
      </c>
      <c r="F546">
        <v>5</v>
      </c>
      <c r="G546" t="str">
        <f>IFERROR(VLOOKUP(Simulated_Dept_Data[[#This Row],[ProfileID]],Table57[],2,FALSE),"NO PROFILE")</f>
        <v>Pinched Pockets</v>
      </c>
      <c r="H546">
        <v>24600</v>
      </c>
      <c r="I546">
        <v>746</v>
      </c>
    </row>
    <row r="547" spans="1:9" x14ac:dyDescent="0.25">
      <c r="A547" t="s">
        <v>12</v>
      </c>
      <c r="B547" t="str">
        <f>VLOOKUP(Simulated_Dept_Data[[#This Row],[DepartmentID]],Table578[],2,FALSE)</f>
        <v>Knick Knacks</v>
      </c>
      <c r="C547">
        <v>2023</v>
      </c>
      <c r="D547">
        <v>3</v>
      </c>
      <c r="E547" t="str">
        <f>VLOOKUP(Simulated_Dept_Data[[#This Row],[SegmentID]],Table5[],2,FALSE)</f>
        <v>Power Shoppers</v>
      </c>
      <c r="F547">
        <v>6</v>
      </c>
      <c r="G547" t="str">
        <f>IFERROR(VLOOKUP(Simulated_Dept_Data[[#This Row],[ProfileID]],Table57[],2,FALSE),"NO PROFILE")</f>
        <v>Normal Families</v>
      </c>
      <c r="H547">
        <v>0</v>
      </c>
      <c r="I547">
        <v>0</v>
      </c>
    </row>
    <row r="548" spans="1:9" x14ac:dyDescent="0.25">
      <c r="A548" t="s">
        <v>12</v>
      </c>
      <c r="B548" t="str">
        <f>VLOOKUP(Simulated_Dept_Data[[#This Row],[DepartmentID]],Table578[],2,FALSE)</f>
        <v>Knick Knacks</v>
      </c>
      <c r="C548">
        <v>2023</v>
      </c>
      <c r="D548">
        <v>4</v>
      </c>
      <c r="E548" t="str">
        <f>VLOOKUP(Simulated_Dept_Data[[#This Row],[SegmentID]],Table5[],2,FALSE)</f>
        <v>Infrequent Customers</v>
      </c>
      <c r="G548" t="str">
        <f>IFERROR(VLOOKUP(Simulated_Dept_Data[[#This Row],[ProfileID]],Table57[],2,FALSE),"NO PROFILE")</f>
        <v>NO PROFILE</v>
      </c>
      <c r="H548">
        <v>24600</v>
      </c>
      <c r="I548">
        <v>746</v>
      </c>
    </row>
    <row r="549" spans="1:9" x14ac:dyDescent="0.25">
      <c r="A549" t="s">
        <v>12</v>
      </c>
      <c r="B549" t="str">
        <f>VLOOKUP(Simulated_Dept_Data[[#This Row],[DepartmentID]],Table578[],2,FALSE)</f>
        <v>Knick Knacks</v>
      </c>
      <c r="C549">
        <v>2023</v>
      </c>
      <c r="D549">
        <v>4</v>
      </c>
      <c r="E549" t="str">
        <f>VLOOKUP(Simulated_Dept_Data[[#This Row],[SegmentID]],Table5[],2,FALSE)</f>
        <v>Infrequent Customers</v>
      </c>
      <c r="F549">
        <v>1</v>
      </c>
      <c r="G549" t="str">
        <f>IFERROR(VLOOKUP(Simulated_Dept_Data[[#This Row],[ProfileID]],Table57[],2,FALSE),"NO PROFILE")</f>
        <v>City Slickers</v>
      </c>
      <c r="H549">
        <v>102500</v>
      </c>
      <c r="I549">
        <v>1492</v>
      </c>
    </row>
    <row r="550" spans="1:9" x14ac:dyDescent="0.25">
      <c r="A550" t="s">
        <v>12</v>
      </c>
      <c r="B550" t="str">
        <f>VLOOKUP(Simulated_Dept_Data[[#This Row],[DepartmentID]],Table578[],2,FALSE)</f>
        <v>Knick Knacks</v>
      </c>
      <c r="C550">
        <v>2023</v>
      </c>
      <c r="D550">
        <v>4</v>
      </c>
      <c r="E550" t="str">
        <f>VLOOKUP(Simulated_Dept_Data[[#This Row],[SegmentID]],Table5[],2,FALSE)</f>
        <v>Infrequent Customers</v>
      </c>
      <c r="F550">
        <v>2</v>
      </c>
      <c r="G550" t="str">
        <f>IFERROR(VLOOKUP(Simulated_Dept_Data[[#This Row],[ProfileID]],Table57[],2,FALSE),"NO PROFILE")</f>
        <v>Rich &amp; Richer</v>
      </c>
      <c r="H550">
        <v>4100</v>
      </c>
      <c r="I550">
        <v>373</v>
      </c>
    </row>
    <row r="551" spans="1:9" x14ac:dyDescent="0.25">
      <c r="A551" t="s">
        <v>12</v>
      </c>
      <c r="B551" t="str">
        <f>VLOOKUP(Simulated_Dept_Data[[#This Row],[DepartmentID]],Table578[],2,FALSE)</f>
        <v>Knick Knacks</v>
      </c>
      <c r="C551">
        <v>2023</v>
      </c>
      <c r="D551">
        <v>4</v>
      </c>
      <c r="E551" t="str">
        <f>VLOOKUP(Simulated_Dept_Data[[#This Row],[SegmentID]],Table5[],2,FALSE)</f>
        <v>Infrequent Customers</v>
      </c>
      <c r="F551">
        <v>3</v>
      </c>
      <c r="G551" t="str">
        <f>IFERROR(VLOOKUP(Simulated_Dept_Data[[#This Row],[ProfileID]],Table57[],2,FALSE),"NO PROFILE")</f>
        <v>Mr. &amp; Mrs. Smiths</v>
      </c>
      <c r="H551">
        <v>20500</v>
      </c>
      <c r="I551">
        <v>746</v>
      </c>
    </row>
    <row r="552" spans="1:9" x14ac:dyDescent="0.25">
      <c r="A552" t="s">
        <v>12</v>
      </c>
      <c r="B552" t="str">
        <f>VLOOKUP(Simulated_Dept_Data[[#This Row],[DepartmentID]],Table578[],2,FALSE)</f>
        <v>Knick Knacks</v>
      </c>
      <c r="C552">
        <v>2023</v>
      </c>
      <c r="D552">
        <v>4</v>
      </c>
      <c r="E552" t="str">
        <f>VLOOKUP(Simulated_Dept_Data[[#This Row],[SegmentID]],Table5[],2,FALSE)</f>
        <v>Infrequent Customers</v>
      </c>
      <c r="F552">
        <v>4</v>
      </c>
      <c r="G552" t="str">
        <f>IFERROR(VLOOKUP(Simulated_Dept_Data[[#This Row],[ProfileID]],Table57[],2,FALSE),"NO PROFILE")</f>
        <v>Blue Collar Royalty</v>
      </c>
      <c r="H552">
        <v>94300</v>
      </c>
      <c r="I552">
        <v>1492</v>
      </c>
    </row>
    <row r="553" spans="1:9" x14ac:dyDescent="0.25">
      <c r="A553" t="s">
        <v>12</v>
      </c>
      <c r="B553" t="str">
        <f>VLOOKUP(Simulated_Dept_Data[[#This Row],[DepartmentID]],Table578[],2,FALSE)</f>
        <v>Knick Knacks</v>
      </c>
      <c r="C553">
        <v>2023</v>
      </c>
      <c r="D553">
        <v>4</v>
      </c>
      <c r="E553" t="str">
        <f>VLOOKUP(Simulated_Dept_Data[[#This Row],[SegmentID]],Table5[],2,FALSE)</f>
        <v>Infrequent Customers</v>
      </c>
      <c r="F553">
        <v>5</v>
      </c>
      <c r="G553" t="str">
        <f>IFERROR(VLOOKUP(Simulated_Dept_Data[[#This Row],[ProfileID]],Table57[],2,FALSE),"NO PROFILE")</f>
        <v>Pinched Pockets</v>
      </c>
      <c r="H553">
        <v>0</v>
      </c>
      <c r="I553">
        <v>0</v>
      </c>
    </row>
    <row r="554" spans="1:9" x14ac:dyDescent="0.25">
      <c r="A554" t="s">
        <v>12</v>
      </c>
      <c r="B554" t="str">
        <f>VLOOKUP(Simulated_Dept_Data[[#This Row],[DepartmentID]],Table578[],2,FALSE)</f>
        <v>Knick Knacks</v>
      </c>
      <c r="C554">
        <v>2023</v>
      </c>
      <c r="D554">
        <v>4</v>
      </c>
      <c r="E554" t="str">
        <f>VLOOKUP(Simulated_Dept_Data[[#This Row],[SegmentID]],Table5[],2,FALSE)</f>
        <v>Infrequent Customers</v>
      </c>
      <c r="F554">
        <v>6</v>
      </c>
      <c r="G554" t="str">
        <f>IFERROR(VLOOKUP(Simulated_Dept_Data[[#This Row],[ProfileID]],Table57[],2,FALSE),"NO PROFILE")</f>
        <v>Normal Families</v>
      </c>
      <c r="H554">
        <v>12300</v>
      </c>
      <c r="I554">
        <v>373</v>
      </c>
    </row>
    <row r="555" spans="1:9" x14ac:dyDescent="0.25">
      <c r="A555" t="s">
        <v>12</v>
      </c>
      <c r="B555" t="str">
        <f>VLOOKUP(Simulated_Dept_Data[[#This Row],[DepartmentID]],Table578[],2,FALSE)</f>
        <v>Knick Knacks</v>
      </c>
      <c r="C555">
        <v>2023</v>
      </c>
      <c r="D555">
        <v>5</v>
      </c>
      <c r="E555" t="str">
        <f>VLOOKUP(Simulated_Dept_Data[[#This Row],[SegmentID]],Table5[],2,FALSE)</f>
        <v>New Customers</v>
      </c>
      <c r="G555" t="str">
        <f>IFERROR(VLOOKUP(Simulated_Dept_Data[[#This Row],[ProfileID]],Table57[],2,FALSE),"NO PROFILE")</f>
        <v>NO PROFILE</v>
      </c>
      <c r="H555">
        <v>102500</v>
      </c>
      <c r="I555">
        <v>1492</v>
      </c>
    </row>
    <row r="556" spans="1:9" x14ac:dyDescent="0.25">
      <c r="A556" t="s">
        <v>12</v>
      </c>
      <c r="B556" t="str">
        <f>VLOOKUP(Simulated_Dept_Data[[#This Row],[DepartmentID]],Table578[],2,FALSE)</f>
        <v>Knick Knacks</v>
      </c>
      <c r="C556">
        <v>2023</v>
      </c>
      <c r="D556">
        <v>5</v>
      </c>
      <c r="E556" t="str">
        <f>VLOOKUP(Simulated_Dept_Data[[#This Row],[SegmentID]],Table5[],2,FALSE)</f>
        <v>New Customers</v>
      </c>
      <c r="F556">
        <v>1</v>
      </c>
      <c r="G556" t="str">
        <f>IFERROR(VLOOKUP(Simulated_Dept_Data[[#This Row],[ProfileID]],Table57[],2,FALSE),"NO PROFILE")</f>
        <v>City Slickers</v>
      </c>
      <c r="H556">
        <v>36900</v>
      </c>
      <c r="I556">
        <v>1119</v>
      </c>
    </row>
    <row r="557" spans="1:9" x14ac:dyDescent="0.25">
      <c r="A557" t="s">
        <v>12</v>
      </c>
      <c r="B557" t="str">
        <f>VLOOKUP(Simulated_Dept_Data[[#This Row],[DepartmentID]],Table578[],2,FALSE)</f>
        <v>Knick Knacks</v>
      </c>
      <c r="C557">
        <v>2023</v>
      </c>
      <c r="D557">
        <v>5</v>
      </c>
      <c r="E557" t="str">
        <f>VLOOKUP(Simulated_Dept_Data[[#This Row],[SegmentID]],Table5[],2,FALSE)</f>
        <v>New Customers</v>
      </c>
      <c r="F557">
        <v>2</v>
      </c>
      <c r="G557" t="str">
        <f>IFERROR(VLOOKUP(Simulated_Dept_Data[[#This Row],[ProfileID]],Table57[],2,FALSE),"NO PROFILE")</f>
        <v>Rich &amp; Richer</v>
      </c>
      <c r="H557">
        <v>73800</v>
      </c>
      <c r="I557">
        <v>1492</v>
      </c>
    </row>
    <row r="558" spans="1:9" x14ac:dyDescent="0.25">
      <c r="A558" t="s">
        <v>12</v>
      </c>
      <c r="B558" t="str">
        <f>VLOOKUP(Simulated_Dept_Data[[#This Row],[DepartmentID]],Table578[],2,FALSE)</f>
        <v>Knick Knacks</v>
      </c>
      <c r="C558">
        <v>2023</v>
      </c>
      <c r="D558">
        <v>5</v>
      </c>
      <c r="E558" t="str">
        <f>VLOOKUP(Simulated_Dept_Data[[#This Row],[SegmentID]],Table5[],2,FALSE)</f>
        <v>New Customers</v>
      </c>
      <c r="F558">
        <v>3</v>
      </c>
      <c r="G558" t="str">
        <f>IFERROR(VLOOKUP(Simulated_Dept_Data[[#This Row],[ProfileID]],Table57[],2,FALSE),"NO PROFILE")</f>
        <v>Mr. &amp; Mrs. Smiths</v>
      </c>
      <c r="H558">
        <v>114800.00000000001</v>
      </c>
      <c r="I558">
        <v>1865</v>
      </c>
    </row>
    <row r="559" spans="1:9" x14ac:dyDescent="0.25">
      <c r="A559" t="s">
        <v>12</v>
      </c>
      <c r="B559" t="str">
        <f>VLOOKUP(Simulated_Dept_Data[[#This Row],[DepartmentID]],Table578[],2,FALSE)</f>
        <v>Knick Knacks</v>
      </c>
      <c r="C559">
        <v>2023</v>
      </c>
      <c r="D559">
        <v>5</v>
      </c>
      <c r="E559" t="str">
        <f>VLOOKUP(Simulated_Dept_Data[[#This Row],[SegmentID]],Table5[],2,FALSE)</f>
        <v>New Customers</v>
      </c>
      <c r="F559">
        <v>4</v>
      </c>
      <c r="G559" t="str">
        <f>IFERROR(VLOOKUP(Simulated_Dept_Data[[#This Row],[ProfileID]],Table57[],2,FALSE),"NO PROFILE")</f>
        <v>Blue Collar Royalty</v>
      </c>
      <c r="H559">
        <v>0</v>
      </c>
      <c r="I559">
        <v>0</v>
      </c>
    </row>
    <row r="560" spans="1:9" x14ac:dyDescent="0.25">
      <c r="A560" t="s">
        <v>12</v>
      </c>
      <c r="B560" t="str">
        <f>VLOOKUP(Simulated_Dept_Data[[#This Row],[DepartmentID]],Table578[],2,FALSE)</f>
        <v>Knick Knacks</v>
      </c>
      <c r="C560">
        <v>2023</v>
      </c>
      <c r="D560">
        <v>5</v>
      </c>
      <c r="E560" t="str">
        <f>VLOOKUP(Simulated_Dept_Data[[#This Row],[SegmentID]],Table5[],2,FALSE)</f>
        <v>New Customers</v>
      </c>
      <c r="F560">
        <v>5</v>
      </c>
      <c r="G560" t="str">
        <f>IFERROR(VLOOKUP(Simulated_Dept_Data[[#This Row],[ProfileID]],Table57[],2,FALSE),"NO PROFILE")</f>
        <v>Pinched Pockets</v>
      </c>
      <c r="H560">
        <v>0</v>
      </c>
      <c r="I560">
        <v>0</v>
      </c>
    </row>
    <row r="561" spans="1:9" x14ac:dyDescent="0.25">
      <c r="A561" t="s">
        <v>12</v>
      </c>
      <c r="B561" t="str">
        <f>VLOOKUP(Simulated_Dept_Data[[#This Row],[DepartmentID]],Table578[],2,FALSE)</f>
        <v>Knick Knacks</v>
      </c>
      <c r="C561">
        <v>2023</v>
      </c>
      <c r="D561">
        <v>5</v>
      </c>
      <c r="E561" t="str">
        <f>VLOOKUP(Simulated_Dept_Data[[#This Row],[SegmentID]],Table5[],2,FALSE)</f>
        <v>New Customers</v>
      </c>
      <c r="F561">
        <v>6</v>
      </c>
      <c r="G561" t="str">
        <f>IFERROR(VLOOKUP(Simulated_Dept_Data[[#This Row],[ProfileID]],Table57[],2,FALSE),"NO PROFILE")</f>
        <v>Normal Families</v>
      </c>
      <c r="H561">
        <v>0</v>
      </c>
      <c r="I561">
        <v>0</v>
      </c>
    </row>
    <row r="562" spans="1:9" x14ac:dyDescent="0.25">
      <c r="A562" t="s">
        <v>13</v>
      </c>
      <c r="B562" t="str">
        <f>VLOOKUP(Simulated_Dept_Data[[#This Row],[DepartmentID]],Table578[],2,FALSE)</f>
        <v>Store Use</v>
      </c>
      <c r="C562">
        <v>2022</v>
      </c>
      <c r="D562">
        <v>1</v>
      </c>
      <c r="E562" t="str">
        <f>VLOOKUP(Simulated_Dept_Data[[#This Row],[SegmentID]],Table5[],2,FALSE)</f>
        <v>Elite Customers</v>
      </c>
      <c r="G562" t="str">
        <f>IFERROR(VLOOKUP(Simulated_Dept_Data[[#This Row],[ProfileID]],Table57[],2,FALSE),"NO PROFILE")</f>
        <v>NO PROFILE</v>
      </c>
      <c r="H562">
        <v>371.37</v>
      </c>
      <c r="I562">
        <v>621</v>
      </c>
    </row>
    <row r="563" spans="1:9" x14ac:dyDescent="0.25">
      <c r="A563" t="s">
        <v>13</v>
      </c>
      <c r="B563" t="str">
        <f>VLOOKUP(Simulated_Dept_Data[[#This Row],[DepartmentID]],Table578[],2,FALSE)</f>
        <v>Store Use</v>
      </c>
      <c r="C563">
        <v>2022</v>
      </c>
      <c r="D563">
        <v>1</v>
      </c>
      <c r="E563" t="str">
        <f>VLOOKUP(Simulated_Dept_Data[[#This Row],[SegmentID]],Table5[],2,FALSE)</f>
        <v>Elite Customers</v>
      </c>
      <c r="F563">
        <v>1</v>
      </c>
      <c r="G563" t="str">
        <f>IFERROR(VLOOKUP(Simulated_Dept_Data[[#This Row],[ProfileID]],Table57[],2,FALSE),"NO PROFILE")</f>
        <v>City Slickers</v>
      </c>
      <c r="H563">
        <v>1170.3</v>
      </c>
      <c r="I563">
        <v>1102</v>
      </c>
    </row>
    <row r="564" spans="1:9" x14ac:dyDescent="0.25">
      <c r="A564" t="s">
        <v>13</v>
      </c>
      <c r="B564" t="str">
        <f>VLOOKUP(Simulated_Dept_Data[[#This Row],[DepartmentID]],Table578[],2,FALSE)</f>
        <v>Store Use</v>
      </c>
      <c r="C564">
        <v>2022</v>
      </c>
      <c r="D564">
        <v>1</v>
      </c>
      <c r="E564" t="str">
        <f>VLOOKUP(Simulated_Dept_Data[[#This Row],[SegmentID]],Table5[],2,FALSE)</f>
        <v>Elite Customers</v>
      </c>
      <c r="F564">
        <v>2</v>
      </c>
      <c r="G564" t="str">
        <f>IFERROR(VLOOKUP(Simulated_Dept_Data[[#This Row],[ProfileID]],Table57[],2,FALSE),"NO PROFILE")</f>
        <v>Rich &amp; Richer</v>
      </c>
      <c r="H564">
        <v>1330.96</v>
      </c>
      <c r="I564">
        <v>1175</v>
      </c>
    </row>
    <row r="565" spans="1:9" x14ac:dyDescent="0.25">
      <c r="A565" t="s">
        <v>13</v>
      </c>
      <c r="B565" t="str">
        <f>VLOOKUP(Simulated_Dept_Data[[#This Row],[DepartmentID]],Table578[],2,FALSE)</f>
        <v>Store Use</v>
      </c>
      <c r="C565">
        <v>2022</v>
      </c>
      <c r="D565">
        <v>1</v>
      </c>
      <c r="E565" t="str">
        <f>VLOOKUP(Simulated_Dept_Data[[#This Row],[SegmentID]],Table5[],2,FALSE)</f>
        <v>Elite Customers</v>
      </c>
      <c r="F565">
        <v>3</v>
      </c>
      <c r="G565" t="str">
        <f>IFERROR(VLOOKUP(Simulated_Dept_Data[[#This Row],[ProfileID]],Table57[],2,FALSE),"NO PROFILE")</f>
        <v>Mr. &amp; Mrs. Smiths</v>
      </c>
      <c r="H565">
        <v>1361.35</v>
      </c>
      <c r="I565">
        <v>1188</v>
      </c>
    </row>
    <row r="566" spans="1:9" x14ac:dyDescent="0.25">
      <c r="A566" t="s">
        <v>13</v>
      </c>
      <c r="B566" t="str">
        <f>VLOOKUP(Simulated_Dept_Data[[#This Row],[DepartmentID]],Table578[],2,FALSE)</f>
        <v>Store Use</v>
      </c>
      <c r="C566">
        <v>2022</v>
      </c>
      <c r="D566">
        <v>1</v>
      </c>
      <c r="E566" t="str">
        <f>VLOOKUP(Simulated_Dept_Data[[#This Row],[SegmentID]],Table5[],2,FALSE)</f>
        <v>Elite Customers</v>
      </c>
      <c r="F566">
        <v>4</v>
      </c>
      <c r="G566" t="str">
        <f>IFERROR(VLOOKUP(Simulated_Dept_Data[[#This Row],[ProfileID]],Table57[],2,FALSE),"NO PROFILE")</f>
        <v>Blue Collar Royalty</v>
      </c>
      <c r="H566">
        <v>372.5</v>
      </c>
      <c r="I566">
        <v>621</v>
      </c>
    </row>
    <row r="567" spans="1:9" x14ac:dyDescent="0.25">
      <c r="A567" t="s">
        <v>13</v>
      </c>
      <c r="B567" t="str">
        <f>VLOOKUP(Simulated_Dept_Data[[#This Row],[DepartmentID]],Table578[],2,FALSE)</f>
        <v>Store Use</v>
      </c>
      <c r="C567">
        <v>2022</v>
      </c>
      <c r="D567">
        <v>1</v>
      </c>
      <c r="E567" t="str">
        <f>VLOOKUP(Simulated_Dept_Data[[#This Row],[SegmentID]],Table5[],2,FALSE)</f>
        <v>Elite Customers</v>
      </c>
      <c r="F567">
        <v>5</v>
      </c>
      <c r="G567" t="str">
        <f>IFERROR(VLOOKUP(Simulated_Dept_Data[[#This Row],[ProfileID]],Table57[],2,FALSE),"NO PROFILE")</f>
        <v>Pinched Pockets</v>
      </c>
      <c r="H567">
        <v>1803.78</v>
      </c>
      <c r="I567">
        <v>1368</v>
      </c>
    </row>
    <row r="568" spans="1:9" x14ac:dyDescent="0.25">
      <c r="A568" t="s">
        <v>13</v>
      </c>
      <c r="B568" t="str">
        <f>VLOOKUP(Simulated_Dept_Data[[#This Row],[DepartmentID]],Table578[],2,FALSE)</f>
        <v>Store Use</v>
      </c>
      <c r="C568">
        <v>2022</v>
      </c>
      <c r="D568">
        <v>1</v>
      </c>
      <c r="E568" t="str">
        <f>VLOOKUP(Simulated_Dept_Data[[#This Row],[SegmentID]],Table5[],2,FALSE)</f>
        <v>Elite Customers</v>
      </c>
      <c r="F568">
        <v>6</v>
      </c>
      <c r="G568" t="str">
        <f>IFERROR(VLOOKUP(Simulated_Dept_Data[[#This Row],[ProfileID]],Table57[],2,FALSE),"NO PROFILE")</f>
        <v>Normal Families</v>
      </c>
      <c r="H568">
        <v>283.39</v>
      </c>
      <c r="I568">
        <v>542</v>
      </c>
    </row>
    <row r="569" spans="1:9" x14ac:dyDescent="0.25">
      <c r="A569" t="s">
        <v>13</v>
      </c>
      <c r="B569" t="str">
        <f>VLOOKUP(Simulated_Dept_Data[[#This Row],[DepartmentID]],Table578[],2,FALSE)</f>
        <v>Store Use</v>
      </c>
      <c r="C569">
        <v>2022</v>
      </c>
      <c r="D569">
        <v>2</v>
      </c>
      <c r="E569" t="str">
        <f>VLOOKUP(Simulated_Dept_Data[[#This Row],[SegmentID]],Table5[],2,FALSE)</f>
        <v>Core Customers</v>
      </c>
      <c r="G569" t="str">
        <f>IFERROR(VLOOKUP(Simulated_Dept_Data[[#This Row],[ProfileID]],Table57[],2,FALSE),"NO PROFILE")</f>
        <v>NO PROFILE</v>
      </c>
      <c r="H569">
        <v>2575.9499999999998</v>
      </c>
      <c r="I569">
        <v>1585</v>
      </c>
    </row>
    <row r="570" spans="1:9" x14ac:dyDescent="0.25">
      <c r="A570" t="s">
        <v>13</v>
      </c>
      <c r="B570" t="str">
        <f>VLOOKUP(Simulated_Dept_Data[[#This Row],[DepartmentID]],Table578[],2,FALSE)</f>
        <v>Store Use</v>
      </c>
      <c r="C570">
        <v>2022</v>
      </c>
      <c r="D570">
        <v>2</v>
      </c>
      <c r="E570" t="str">
        <f>VLOOKUP(Simulated_Dept_Data[[#This Row],[SegmentID]],Table5[],2,FALSE)</f>
        <v>Core Customers</v>
      </c>
      <c r="F570">
        <v>1</v>
      </c>
      <c r="G570" t="str">
        <f>IFERROR(VLOOKUP(Simulated_Dept_Data[[#This Row],[ProfileID]],Table57[],2,FALSE),"NO PROFILE")</f>
        <v>City Slickers</v>
      </c>
      <c r="H570">
        <v>616.26</v>
      </c>
      <c r="I570">
        <v>775</v>
      </c>
    </row>
    <row r="571" spans="1:9" x14ac:dyDescent="0.25">
      <c r="A571" t="s">
        <v>13</v>
      </c>
      <c r="B571" t="str">
        <f>VLOOKUP(Simulated_Dept_Data[[#This Row],[DepartmentID]],Table578[],2,FALSE)</f>
        <v>Store Use</v>
      </c>
      <c r="C571">
        <v>2022</v>
      </c>
      <c r="D571">
        <v>2</v>
      </c>
      <c r="E571" t="str">
        <f>VLOOKUP(Simulated_Dept_Data[[#This Row],[SegmentID]],Table5[],2,FALSE)</f>
        <v>Core Customers</v>
      </c>
      <c r="F571">
        <v>2</v>
      </c>
      <c r="G571" t="str">
        <f>IFERROR(VLOOKUP(Simulated_Dept_Data[[#This Row],[ProfileID]],Table57[],2,FALSE),"NO PROFILE")</f>
        <v>Rich &amp; Richer</v>
      </c>
      <c r="H571">
        <v>985.27</v>
      </c>
      <c r="I571">
        <v>980</v>
      </c>
    </row>
    <row r="572" spans="1:9" x14ac:dyDescent="0.25">
      <c r="A572" t="s">
        <v>13</v>
      </c>
      <c r="B572" t="str">
        <f>VLOOKUP(Simulated_Dept_Data[[#This Row],[DepartmentID]],Table578[],2,FALSE)</f>
        <v>Store Use</v>
      </c>
      <c r="C572">
        <v>2022</v>
      </c>
      <c r="D572">
        <v>2</v>
      </c>
      <c r="E572" t="str">
        <f>VLOOKUP(Simulated_Dept_Data[[#This Row],[SegmentID]],Table5[],2,FALSE)</f>
        <v>Core Customers</v>
      </c>
      <c r="F572">
        <v>3</v>
      </c>
      <c r="G572" t="str">
        <f>IFERROR(VLOOKUP(Simulated_Dept_Data[[#This Row],[ProfileID]],Table57[],2,FALSE),"NO PROFILE")</f>
        <v>Mr. &amp; Mrs. Smiths</v>
      </c>
      <c r="H572">
        <v>2156.42</v>
      </c>
      <c r="I572">
        <v>1450</v>
      </c>
    </row>
    <row r="573" spans="1:9" x14ac:dyDescent="0.25">
      <c r="A573" t="s">
        <v>13</v>
      </c>
      <c r="B573" t="str">
        <f>VLOOKUP(Simulated_Dept_Data[[#This Row],[DepartmentID]],Table578[],2,FALSE)</f>
        <v>Store Use</v>
      </c>
      <c r="C573">
        <v>2022</v>
      </c>
      <c r="D573">
        <v>2</v>
      </c>
      <c r="E573" t="str">
        <f>VLOOKUP(Simulated_Dept_Data[[#This Row],[SegmentID]],Table5[],2,FALSE)</f>
        <v>Core Customers</v>
      </c>
      <c r="F573">
        <v>4</v>
      </c>
      <c r="G573" t="str">
        <f>IFERROR(VLOOKUP(Simulated_Dept_Data[[#This Row],[ProfileID]],Table57[],2,FALSE),"NO PROFILE")</f>
        <v>Blue Collar Royalty</v>
      </c>
      <c r="H573">
        <v>1.52</v>
      </c>
      <c r="I573">
        <v>38</v>
      </c>
    </row>
    <row r="574" spans="1:9" x14ac:dyDescent="0.25">
      <c r="A574" t="s">
        <v>13</v>
      </c>
      <c r="B574" t="str">
        <f>VLOOKUP(Simulated_Dept_Data[[#This Row],[DepartmentID]],Table578[],2,FALSE)</f>
        <v>Store Use</v>
      </c>
      <c r="C574">
        <v>2022</v>
      </c>
      <c r="D574">
        <v>2</v>
      </c>
      <c r="E574" t="str">
        <f>VLOOKUP(Simulated_Dept_Data[[#This Row],[SegmentID]],Table5[],2,FALSE)</f>
        <v>Core Customers</v>
      </c>
      <c r="F574">
        <v>5</v>
      </c>
      <c r="G574" t="str">
        <f>IFERROR(VLOOKUP(Simulated_Dept_Data[[#This Row],[ProfileID]],Table57[],2,FALSE),"NO PROFILE")</f>
        <v>Pinched Pockets</v>
      </c>
      <c r="H574">
        <v>447.94</v>
      </c>
      <c r="I574">
        <v>661</v>
      </c>
    </row>
    <row r="575" spans="1:9" x14ac:dyDescent="0.25">
      <c r="A575" t="s">
        <v>13</v>
      </c>
      <c r="B575" t="str">
        <f>VLOOKUP(Simulated_Dept_Data[[#This Row],[DepartmentID]],Table578[],2,FALSE)</f>
        <v>Store Use</v>
      </c>
      <c r="C575">
        <v>2022</v>
      </c>
      <c r="D575">
        <v>2</v>
      </c>
      <c r="E575" t="str">
        <f>VLOOKUP(Simulated_Dept_Data[[#This Row],[SegmentID]],Table5[],2,FALSE)</f>
        <v>Core Customers</v>
      </c>
      <c r="F575">
        <v>6</v>
      </c>
      <c r="G575" t="str">
        <f>IFERROR(VLOOKUP(Simulated_Dept_Data[[#This Row],[ProfileID]],Table57[],2,FALSE),"NO PROFILE")</f>
        <v>Normal Families</v>
      </c>
      <c r="H575">
        <v>269.61</v>
      </c>
      <c r="I575">
        <v>513</v>
      </c>
    </row>
    <row r="576" spans="1:9" x14ac:dyDescent="0.25">
      <c r="A576" t="s">
        <v>13</v>
      </c>
      <c r="B576" t="str">
        <f>VLOOKUP(Simulated_Dept_Data[[#This Row],[DepartmentID]],Table578[],2,FALSE)</f>
        <v>Store Use</v>
      </c>
      <c r="C576">
        <v>2022</v>
      </c>
      <c r="D576">
        <v>3</v>
      </c>
      <c r="E576" t="str">
        <f>VLOOKUP(Simulated_Dept_Data[[#This Row],[SegmentID]],Table5[],2,FALSE)</f>
        <v>Power Shoppers</v>
      </c>
      <c r="G576" t="str">
        <f>IFERROR(VLOOKUP(Simulated_Dept_Data[[#This Row],[ProfileID]],Table57[],2,FALSE),"NO PROFILE")</f>
        <v>NO PROFILE</v>
      </c>
      <c r="H576">
        <v>502.01</v>
      </c>
      <c r="I576">
        <v>688</v>
      </c>
    </row>
    <row r="577" spans="1:9" x14ac:dyDescent="0.25">
      <c r="A577" t="s">
        <v>13</v>
      </c>
      <c r="B577" t="str">
        <f>VLOOKUP(Simulated_Dept_Data[[#This Row],[DepartmentID]],Table578[],2,FALSE)</f>
        <v>Store Use</v>
      </c>
      <c r="C577">
        <v>2022</v>
      </c>
      <c r="D577">
        <v>3</v>
      </c>
      <c r="E577" t="str">
        <f>VLOOKUP(Simulated_Dept_Data[[#This Row],[SegmentID]],Table5[],2,FALSE)</f>
        <v>Power Shoppers</v>
      </c>
      <c r="F577">
        <v>1</v>
      </c>
      <c r="G577" t="str">
        <f>IFERROR(VLOOKUP(Simulated_Dept_Data[[#This Row],[ProfileID]],Table57[],2,FALSE),"NO PROFILE")</f>
        <v>City Slickers</v>
      </c>
      <c r="H577">
        <v>2404.08</v>
      </c>
      <c r="I577">
        <v>1506</v>
      </c>
    </row>
    <row r="578" spans="1:9" x14ac:dyDescent="0.25">
      <c r="A578" t="s">
        <v>13</v>
      </c>
      <c r="B578" t="str">
        <f>VLOOKUP(Simulated_Dept_Data[[#This Row],[DepartmentID]],Table578[],2,FALSE)</f>
        <v>Store Use</v>
      </c>
      <c r="C578">
        <v>2022</v>
      </c>
      <c r="D578">
        <v>3</v>
      </c>
      <c r="E578" t="str">
        <f>VLOOKUP(Simulated_Dept_Data[[#This Row],[SegmentID]],Table5[],2,FALSE)</f>
        <v>Power Shoppers</v>
      </c>
      <c r="F578">
        <v>2</v>
      </c>
      <c r="G578" t="str">
        <f>IFERROR(VLOOKUP(Simulated_Dept_Data[[#This Row],[ProfileID]],Table57[],2,FALSE),"NO PROFILE")</f>
        <v>Rich &amp; Richer</v>
      </c>
      <c r="H578">
        <v>328.45</v>
      </c>
      <c r="I578">
        <v>557</v>
      </c>
    </row>
    <row r="579" spans="1:9" x14ac:dyDescent="0.25">
      <c r="A579" t="s">
        <v>13</v>
      </c>
      <c r="B579" t="str">
        <f>VLOOKUP(Simulated_Dept_Data[[#This Row],[DepartmentID]],Table578[],2,FALSE)</f>
        <v>Store Use</v>
      </c>
      <c r="C579">
        <v>2022</v>
      </c>
      <c r="D579">
        <v>3</v>
      </c>
      <c r="E579" t="str">
        <f>VLOOKUP(Simulated_Dept_Data[[#This Row],[SegmentID]],Table5[],2,FALSE)</f>
        <v>Power Shoppers</v>
      </c>
      <c r="F579">
        <v>3</v>
      </c>
      <c r="G579" t="str">
        <f>IFERROR(VLOOKUP(Simulated_Dept_Data[[#This Row],[ProfileID]],Table57[],2,FALSE),"NO PROFILE")</f>
        <v>Mr. &amp; Mrs. Smiths</v>
      </c>
      <c r="H579">
        <v>47.08</v>
      </c>
      <c r="I579">
        <v>211</v>
      </c>
    </row>
    <row r="580" spans="1:9" x14ac:dyDescent="0.25">
      <c r="A580" t="s">
        <v>13</v>
      </c>
      <c r="B580" t="str">
        <f>VLOOKUP(Simulated_Dept_Data[[#This Row],[DepartmentID]],Table578[],2,FALSE)</f>
        <v>Store Use</v>
      </c>
      <c r="C580">
        <v>2022</v>
      </c>
      <c r="D580">
        <v>3</v>
      </c>
      <c r="E580" t="str">
        <f>VLOOKUP(Simulated_Dept_Data[[#This Row],[SegmentID]],Table5[],2,FALSE)</f>
        <v>Power Shoppers</v>
      </c>
      <c r="F580">
        <v>4</v>
      </c>
      <c r="G580" t="str">
        <f>IFERROR(VLOOKUP(Simulated_Dept_Data[[#This Row],[ProfileID]],Table57[],2,FALSE),"NO PROFILE")</f>
        <v>Blue Collar Royalty</v>
      </c>
      <c r="H580">
        <v>1414</v>
      </c>
      <c r="I580">
        <v>1155</v>
      </c>
    </row>
    <row r="581" spans="1:9" x14ac:dyDescent="0.25">
      <c r="A581" t="s">
        <v>13</v>
      </c>
      <c r="B581" t="str">
        <f>VLOOKUP(Simulated_Dept_Data[[#This Row],[DepartmentID]],Table578[],2,FALSE)</f>
        <v>Store Use</v>
      </c>
      <c r="C581">
        <v>2022</v>
      </c>
      <c r="D581">
        <v>3</v>
      </c>
      <c r="E581" t="str">
        <f>VLOOKUP(Simulated_Dept_Data[[#This Row],[SegmentID]],Table5[],2,FALSE)</f>
        <v>Power Shoppers</v>
      </c>
      <c r="F581">
        <v>5</v>
      </c>
      <c r="G581" t="str">
        <f>IFERROR(VLOOKUP(Simulated_Dept_Data[[#This Row],[ProfileID]],Table57[],2,FALSE),"NO PROFILE")</f>
        <v>Pinched Pockets</v>
      </c>
      <c r="H581">
        <v>510.15</v>
      </c>
      <c r="I581">
        <v>694</v>
      </c>
    </row>
    <row r="582" spans="1:9" x14ac:dyDescent="0.25">
      <c r="A582" t="s">
        <v>13</v>
      </c>
      <c r="B582" t="str">
        <f>VLOOKUP(Simulated_Dept_Data[[#This Row],[DepartmentID]],Table578[],2,FALSE)</f>
        <v>Store Use</v>
      </c>
      <c r="C582">
        <v>2022</v>
      </c>
      <c r="D582">
        <v>3</v>
      </c>
      <c r="E582" t="str">
        <f>VLOOKUP(Simulated_Dept_Data[[#This Row],[SegmentID]],Table5[],2,FALSE)</f>
        <v>Power Shoppers</v>
      </c>
      <c r="F582">
        <v>6</v>
      </c>
      <c r="G582" t="str">
        <f>IFERROR(VLOOKUP(Simulated_Dept_Data[[#This Row],[ProfileID]],Table57[],2,FALSE),"NO PROFILE")</f>
        <v>Normal Families</v>
      </c>
      <c r="H582">
        <v>14.79</v>
      </c>
      <c r="I582">
        <v>118</v>
      </c>
    </row>
    <row r="583" spans="1:9" x14ac:dyDescent="0.25">
      <c r="A583" t="s">
        <v>13</v>
      </c>
      <c r="B583" t="str">
        <f>VLOOKUP(Simulated_Dept_Data[[#This Row],[DepartmentID]],Table578[],2,FALSE)</f>
        <v>Store Use</v>
      </c>
      <c r="C583">
        <v>2022</v>
      </c>
      <c r="D583">
        <v>4</v>
      </c>
      <c r="E583" t="str">
        <f>VLOOKUP(Simulated_Dept_Data[[#This Row],[SegmentID]],Table5[],2,FALSE)</f>
        <v>Infrequent Customers</v>
      </c>
      <c r="G583" t="str">
        <f>IFERROR(VLOOKUP(Simulated_Dept_Data[[#This Row],[ProfileID]],Table57[],2,FALSE),"NO PROFILE")</f>
        <v>NO PROFILE</v>
      </c>
      <c r="H583">
        <v>491.86</v>
      </c>
      <c r="I583">
        <v>682</v>
      </c>
    </row>
    <row r="584" spans="1:9" x14ac:dyDescent="0.25">
      <c r="A584" t="s">
        <v>13</v>
      </c>
      <c r="B584" t="str">
        <f>VLOOKUP(Simulated_Dept_Data[[#This Row],[DepartmentID]],Table578[],2,FALSE)</f>
        <v>Store Use</v>
      </c>
      <c r="C584">
        <v>2022</v>
      </c>
      <c r="D584">
        <v>4</v>
      </c>
      <c r="E584" t="str">
        <f>VLOOKUP(Simulated_Dept_Data[[#This Row],[SegmentID]],Table5[],2,FALSE)</f>
        <v>Infrequent Customers</v>
      </c>
      <c r="F584">
        <v>1</v>
      </c>
      <c r="G584" t="str">
        <f>IFERROR(VLOOKUP(Simulated_Dept_Data[[#This Row],[ProfileID]],Table57[],2,FALSE),"NO PROFILE")</f>
        <v>City Slickers</v>
      </c>
      <c r="H584">
        <v>1978.46</v>
      </c>
      <c r="I584">
        <v>1368</v>
      </c>
    </row>
    <row r="585" spans="1:9" x14ac:dyDescent="0.25">
      <c r="A585" t="s">
        <v>13</v>
      </c>
      <c r="B585" t="str">
        <f>VLOOKUP(Simulated_Dept_Data[[#This Row],[DepartmentID]],Table578[],2,FALSE)</f>
        <v>Store Use</v>
      </c>
      <c r="C585">
        <v>2022</v>
      </c>
      <c r="D585">
        <v>4</v>
      </c>
      <c r="E585" t="str">
        <f>VLOOKUP(Simulated_Dept_Data[[#This Row],[SegmentID]],Table5[],2,FALSE)</f>
        <v>Infrequent Customers</v>
      </c>
      <c r="F585">
        <v>2</v>
      </c>
      <c r="G585" t="str">
        <f>IFERROR(VLOOKUP(Simulated_Dept_Data[[#This Row],[ProfileID]],Table57[],2,FALSE),"NO PROFILE")</f>
        <v>Rich &amp; Richer</v>
      </c>
      <c r="H585">
        <v>46.15</v>
      </c>
      <c r="I585">
        <v>209</v>
      </c>
    </row>
    <row r="586" spans="1:9" x14ac:dyDescent="0.25">
      <c r="A586" t="s">
        <v>13</v>
      </c>
      <c r="B586" t="str">
        <f>VLOOKUP(Simulated_Dept_Data[[#This Row],[DepartmentID]],Table578[],2,FALSE)</f>
        <v>Store Use</v>
      </c>
      <c r="C586">
        <v>2022</v>
      </c>
      <c r="D586">
        <v>4</v>
      </c>
      <c r="E586" t="str">
        <f>VLOOKUP(Simulated_Dept_Data[[#This Row],[SegmentID]],Table5[],2,FALSE)</f>
        <v>Infrequent Customers</v>
      </c>
      <c r="F586">
        <v>3</v>
      </c>
      <c r="G586" t="str">
        <f>IFERROR(VLOOKUP(Simulated_Dept_Data[[#This Row],[ProfileID]],Table57[],2,FALSE),"NO PROFILE")</f>
        <v>Mr. &amp; Mrs. Smiths</v>
      </c>
      <c r="H586">
        <v>390.22</v>
      </c>
      <c r="I586">
        <v>608</v>
      </c>
    </row>
    <row r="587" spans="1:9" x14ac:dyDescent="0.25">
      <c r="A587" t="s">
        <v>13</v>
      </c>
      <c r="B587" t="str">
        <f>VLOOKUP(Simulated_Dept_Data[[#This Row],[DepartmentID]],Table578[],2,FALSE)</f>
        <v>Store Use</v>
      </c>
      <c r="C587">
        <v>2022</v>
      </c>
      <c r="D587">
        <v>4</v>
      </c>
      <c r="E587" t="str">
        <f>VLOOKUP(Simulated_Dept_Data[[#This Row],[SegmentID]],Table5[],2,FALSE)</f>
        <v>Infrequent Customers</v>
      </c>
      <c r="F587">
        <v>4</v>
      </c>
      <c r="G587" t="str">
        <f>IFERROR(VLOOKUP(Simulated_Dept_Data[[#This Row],[ProfileID]],Table57[],2,FALSE),"NO PROFILE")</f>
        <v>Blue Collar Royalty</v>
      </c>
      <c r="H587">
        <v>1844.82</v>
      </c>
      <c r="I587">
        <v>1321</v>
      </c>
    </row>
    <row r="588" spans="1:9" x14ac:dyDescent="0.25">
      <c r="A588" t="s">
        <v>13</v>
      </c>
      <c r="B588" t="str">
        <f>VLOOKUP(Simulated_Dept_Data[[#This Row],[DepartmentID]],Table578[],2,FALSE)</f>
        <v>Store Use</v>
      </c>
      <c r="C588">
        <v>2022</v>
      </c>
      <c r="D588">
        <v>4</v>
      </c>
      <c r="E588" t="str">
        <f>VLOOKUP(Simulated_Dept_Data[[#This Row],[SegmentID]],Table5[],2,FALSE)</f>
        <v>Infrequent Customers</v>
      </c>
      <c r="F588">
        <v>5</v>
      </c>
      <c r="G588" t="str">
        <f>IFERROR(VLOOKUP(Simulated_Dept_Data[[#This Row],[ProfileID]],Table57[],2,FALSE),"NO PROFILE")</f>
        <v>Pinched Pockets</v>
      </c>
      <c r="H588">
        <v>3.93</v>
      </c>
      <c r="I588">
        <v>61</v>
      </c>
    </row>
    <row r="589" spans="1:9" x14ac:dyDescent="0.25">
      <c r="A589" t="s">
        <v>13</v>
      </c>
      <c r="B589" t="str">
        <f>VLOOKUP(Simulated_Dept_Data[[#This Row],[DepartmentID]],Table578[],2,FALSE)</f>
        <v>Store Use</v>
      </c>
      <c r="C589">
        <v>2022</v>
      </c>
      <c r="D589">
        <v>4</v>
      </c>
      <c r="E589" t="str">
        <f>VLOOKUP(Simulated_Dept_Data[[#This Row],[SegmentID]],Table5[],2,FALSE)</f>
        <v>Infrequent Customers</v>
      </c>
      <c r="F589">
        <v>6</v>
      </c>
      <c r="G589" t="str">
        <f>IFERROR(VLOOKUP(Simulated_Dept_Data[[#This Row],[ProfileID]],Table57[],2,FALSE),"NO PROFILE")</f>
        <v>Normal Families</v>
      </c>
      <c r="H589">
        <v>198.35</v>
      </c>
      <c r="I589">
        <v>433</v>
      </c>
    </row>
    <row r="590" spans="1:9" x14ac:dyDescent="0.25">
      <c r="A590" t="s">
        <v>13</v>
      </c>
      <c r="B590" t="str">
        <f>VLOOKUP(Simulated_Dept_Data[[#This Row],[DepartmentID]],Table578[],2,FALSE)</f>
        <v>Store Use</v>
      </c>
      <c r="C590">
        <v>2022</v>
      </c>
      <c r="D590">
        <v>5</v>
      </c>
      <c r="E590" t="str">
        <f>VLOOKUP(Simulated_Dept_Data[[#This Row],[SegmentID]],Table5[],2,FALSE)</f>
        <v>New Customers</v>
      </c>
      <c r="G590" t="str">
        <f>IFERROR(VLOOKUP(Simulated_Dept_Data[[#This Row],[ProfileID]],Table57[],2,FALSE),"NO PROFILE")</f>
        <v>NO PROFILE</v>
      </c>
      <c r="H590">
        <v>3554.45</v>
      </c>
      <c r="I590">
        <v>1789</v>
      </c>
    </row>
    <row r="591" spans="1:9" x14ac:dyDescent="0.25">
      <c r="A591" t="s">
        <v>13</v>
      </c>
      <c r="B591" t="str">
        <f>VLOOKUP(Simulated_Dept_Data[[#This Row],[DepartmentID]],Table578[],2,FALSE)</f>
        <v>Store Use</v>
      </c>
      <c r="C591">
        <v>2022</v>
      </c>
      <c r="D591">
        <v>5</v>
      </c>
      <c r="E591" t="str">
        <f>VLOOKUP(Simulated_Dept_Data[[#This Row],[SegmentID]],Table5[],2,FALSE)</f>
        <v>New Customers</v>
      </c>
      <c r="F591">
        <v>1</v>
      </c>
      <c r="G591" t="str">
        <f>IFERROR(VLOOKUP(Simulated_Dept_Data[[#This Row],[ProfileID]],Table57[],2,FALSE),"NO PROFILE")</f>
        <v>City Slickers</v>
      </c>
      <c r="H591">
        <v>1198.6199999999999</v>
      </c>
      <c r="I591">
        <v>1039</v>
      </c>
    </row>
    <row r="592" spans="1:9" x14ac:dyDescent="0.25">
      <c r="A592" t="s">
        <v>13</v>
      </c>
      <c r="B592" t="str">
        <f>VLOOKUP(Simulated_Dept_Data[[#This Row],[DepartmentID]],Table578[],2,FALSE)</f>
        <v>Store Use</v>
      </c>
      <c r="C592">
        <v>2022</v>
      </c>
      <c r="D592">
        <v>5</v>
      </c>
      <c r="E592" t="str">
        <f>VLOOKUP(Simulated_Dept_Data[[#This Row],[SegmentID]],Table5[],2,FALSE)</f>
        <v>New Customers</v>
      </c>
      <c r="F592">
        <v>2</v>
      </c>
      <c r="G592" t="str">
        <f>IFERROR(VLOOKUP(Simulated_Dept_Data[[#This Row],[ProfileID]],Table57[],2,FALSE),"NO PROFILE")</f>
        <v>Rich &amp; Richer</v>
      </c>
      <c r="H592">
        <v>2576.1799999999998</v>
      </c>
      <c r="I592">
        <v>1523</v>
      </c>
    </row>
    <row r="593" spans="1:9" x14ac:dyDescent="0.25">
      <c r="A593" t="s">
        <v>13</v>
      </c>
      <c r="B593" t="str">
        <f>VLOOKUP(Simulated_Dept_Data[[#This Row],[DepartmentID]],Table578[],2,FALSE)</f>
        <v>Store Use</v>
      </c>
      <c r="C593">
        <v>2022</v>
      </c>
      <c r="D593">
        <v>5</v>
      </c>
      <c r="E593" t="str">
        <f>VLOOKUP(Simulated_Dept_Data[[#This Row],[SegmentID]],Table5[],2,FALSE)</f>
        <v>New Customers</v>
      </c>
      <c r="F593">
        <v>3</v>
      </c>
      <c r="G593" t="str">
        <f>IFERROR(VLOOKUP(Simulated_Dept_Data[[#This Row],[ProfileID]],Table57[],2,FALSE),"NO PROFILE")</f>
        <v>Mr. &amp; Mrs. Smiths</v>
      </c>
      <c r="H593">
        <v>3940.9</v>
      </c>
      <c r="I593">
        <v>1883</v>
      </c>
    </row>
    <row r="594" spans="1:9" x14ac:dyDescent="0.25">
      <c r="A594" t="s">
        <v>13</v>
      </c>
      <c r="B594" t="str">
        <f>VLOOKUP(Simulated_Dept_Data[[#This Row],[DepartmentID]],Table578[],2,FALSE)</f>
        <v>Store Use</v>
      </c>
      <c r="C594">
        <v>2022</v>
      </c>
      <c r="D594">
        <v>5</v>
      </c>
      <c r="E594" t="str">
        <f>VLOOKUP(Simulated_Dept_Data[[#This Row],[SegmentID]],Table5[],2,FALSE)</f>
        <v>New Customers</v>
      </c>
      <c r="F594">
        <v>4</v>
      </c>
      <c r="G594" t="str">
        <f>IFERROR(VLOOKUP(Simulated_Dept_Data[[#This Row],[ProfileID]],Table57[],2,FALSE),"NO PROFILE")</f>
        <v>Blue Collar Royalty</v>
      </c>
      <c r="H594">
        <v>4.91</v>
      </c>
      <c r="I594">
        <v>66</v>
      </c>
    </row>
    <row r="595" spans="1:9" x14ac:dyDescent="0.25">
      <c r="A595" t="s">
        <v>13</v>
      </c>
      <c r="B595" t="str">
        <f>VLOOKUP(Simulated_Dept_Data[[#This Row],[DepartmentID]],Table578[],2,FALSE)</f>
        <v>Store Use</v>
      </c>
      <c r="C595">
        <v>2022</v>
      </c>
      <c r="D595">
        <v>5</v>
      </c>
      <c r="E595" t="str">
        <f>VLOOKUP(Simulated_Dept_Data[[#This Row],[SegmentID]],Table5[],2,FALSE)</f>
        <v>New Customers</v>
      </c>
      <c r="F595">
        <v>5</v>
      </c>
      <c r="G595" t="str">
        <f>IFERROR(VLOOKUP(Simulated_Dept_Data[[#This Row],[ProfileID]],Table57[],2,FALSE),"NO PROFILE")</f>
        <v>Pinched Pockets</v>
      </c>
      <c r="H595">
        <v>5.99</v>
      </c>
      <c r="I595">
        <v>73</v>
      </c>
    </row>
    <row r="596" spans="1:9" x14ac:dyDescent="0.25">
      <c r="A596" t="s">
        <v>13</v>
      </c>
      <c r="B596" t="str">
        <f>VLOOKUP(Simulated_Dept_Data[[#This Row],[DepartmentID]],Table578[],2,FALSE)</f>
        <v>Store Use</v>
      </c>
      <c r="C596">
        <v>2022</v>
      </c>
      <c r="D596">
        <v>5</v>
      </c>
      <c r="E596" t="str">
        <f>VLOOKUP(Simulated_Dept_Data[[#This Row],[SegmentID]],Table5[],2,FALSE)</f>
        <v>New Customers</v>
      </c>
      <c r="F596">
        <v>6</v>
      </c>
      <c r="G596" t="str">
        <f>IFERROR(VLOOKUP(Simulated_Dept_Data[[#This Row],[ProfileID]],Table57[],2,FALSE),"NO PROFILE")</f>
        <v>Normal Families</v>
      </c>
      <c r="H596">
        <v>29.92</v>
      </c>
      <c r="I596">
        <v>164</v>
      </c>
    </row>
    <row r="597" spans="1:9" x14ac:dyDescent="0.25">
      <c r="A597" t="s">
        <v>13</v>
      </c>
      <c r="B597" t="str">
        <f>VLOOKUP(Simulated_Dept_Data[[#This Row],[DepartmentID]],Table578[],2,FALSE)</f>
        <v>Store Use</v>
      </c>
      <c r="C597">
        <v>2023</v>
      </c>
      <c r="D597">
        <v>1</v>
      </c>
      <c r="E597" t="str">
        <f>VLOOKUP(Simulated_Dept_Data[[#This Row],[SegmentID]],Table5[],2,FALSE)</f>
        <v>Elite Customers</v>
      </c>
      <c r="G597" t="str">
        <f>IFERROR(VLOOKUP(Simulated_Dept_Data[[#This Row],[ProfileID]],Table57[],2,FALSE),"NO PROFILE")</f>
        <v>NO PROFILE</v>
      </c>
      <c r="H597">
        <v>397.57</v>
      </c>
      <c r="I597">
        <v>559</v>
      </c>
    </row>
    <row r="598" spans="1:9" x14ac:dyDescent="0.25">
      <c r="A598" t="s">
        <v>13</v>
      </c>
      <c r="B598" t="str">
        <f>VLOOKUP(Simulated_Dept_Data[[#This Row],[DepartmentID]],Table578[],2,FALSE)</f>
        <v>Store Use</v>
      </c>
      <c r="C598">
        <v>2023</v>
      </c>
      <c r="D598">
        <v>1</v>
      </c>
      <c r="E598" t="str">
        <f>VLOOKUP(Simulated_Dept_Data[[#This Row],[SegmentID]],Table5[],2,FALSE)</f>
        <v>Elite Customers</v>
      </c>
      <c r="F598">
        <v>1</v>
      </c>
      <c r="G598" t="str">
        <f>IFERROR(VLOOKUP(Simulated_Dept_Data[[#This Row],[ProfileID]],Table57[],2,FALSE),"NO PROFILE")</f>
        <v>City Slickers</v>
      </c>
      <c r="H598">
        <v>1252.8499999999999</v>
      </c>
      <c r="I598">
        <v>993</v>
      </c>
    </row>
    <row r="599" spans="1:9" x14ac:dyDescent="0.25">
      <c r="A599" t="s">
        <v>13</v>
      </c>
      <c r="B599" t="str">
        <f>VLOOKUP(Simulated_Dept_Data[[#This Row],[DepartmentID]],Table578[],2,FALSE)</f>
        <v>Store Use</v>
      </c>
      <c r="C599">
        <v>2023</v>
      </c>
      <c r="D599">
        <v>1</v>
      </c>
      <c r="E599" t="str">
        <f>VLOOKUP(Simulated_Dept_Data[[#This Row],[SegmentID]],Table5[],2,FALSE)</f>
        <v>Elite Customers</v>
      </c>
      <c r="F599">
        <v>2</v>
      </c>
      <c r="G599" t="str">
        <f>IFERROR(VLOOKUP(Simulated_Dept_Data[[#This Row],[ProfileID]],Table57[],2,FALSE),"NO PROFILE")</f>
        <v>Rich &amp; Richer</v>
      </c>
      <c r="H599">
        <v>1424.84</v>
      </c>
      <c r="I599">
        <v>1058</v>
      </c>
    </row>
    <row r="600" spans="1:9" x14ac:dyDescent="0.25">
      <c r="A600" t="s">
        <v>13</v>
      </c>
      <c r="B600" t="str">
        <f>VLOOKUP(Simulated_Dept_Data[[#This Row],[DepartmentID]],Table578[],2,FALSE)</f>
        <v>Store Use</v>
      </c>
      <c r="C600">
        <v>2023</v>
      </c>
      <c r="D600">
        <v>1</v>
      </c>
      <c r="E600" t="str">
        <f>VLOOKUP(Simulated_Dept_Data[[#This Row],[SegmentID]],Table5[],2,FALSE)</f>
        <v>Elite Customers</v>
      </c>
      <c r="F600">
        <v>3</v>
      </c>
      <c r="G600" t="str">
        <f>IFERROR(VLOOKUP(Simulated_Dept_Data[[#This Row],[ProfileID]],Table57[],2,FALSE),"NO PROFILE")</f>
        <v>Mr. &amp; Mrs. Smiths</v>
      </c>
      <c r="H600">
        <v>1457.38</v>
      </c>
      <c r="I600">
        <v>1071</v>
      </c>
    </row>
    <row r="601" spans="1:9" x14ac:dyDescent="0.25">
      <c r="A601" t="s">
        <v>13</v>
      </c>
      <c r="B601" t="str">
        <f>VLOOKUP(Simulated_Dept_Data[[#This Row],[DepartmentID]],Table578[],2,FALSE)</f>
        <v>Store Use</v>
      </c>
      <c r="C601">
        <v>2023</v>
      </c>
      <c r="D601">
        <v>1</v>
      </c>
      <c r="E601" t="str">
        <f>VLOOKUP(Simulated_Dept_Data[[#This Row],[SegmentID]],Table5[],2,FALSE)</f>
        <v>Elite Customers</v>
      </c>
      <c r="F601">
        <v>4</v>
      </c>
      <c r="G601" t="str">
        <f>IFERROR(VLOOKUP(Simulated_Dept_Data[[#This Row],[ProfileID]],Table57[],2,FALSE),"NO PROFILE")</f>
        <v>Blue Collar Royalty</v>
      </c>
      <c r="H601">
        <v>398.77</v>
      </c>
      <c r="I601">
        <v>560</v>
      </c>
    </row>
    <row r="602" spans="1:9" x14ac:dyDescent="0.25">
      <c r="A602" t="s">
        <v>13</v>
      </c>
      <c r="B602" t="str">
        <f>VLOOKUP(Simulated_Dept_Data[[#This Row],[DepartmentID]],Table578[],2,FALSE)</f>
        <v>Store Use</v>
      </c>
      <c r="C602">
        <v>2023</v>
      </c>
      <c r="D602">
        <v>1</v>
      </c>
      <c r="E602" t="str">
        <f>VLOOKUP(Simulated_Dept_Data[[#This Row],[SegmentID]],Table5[],2,FALSE)</f>
        <v>Elite Customers</v>
      </c>
      <c r="F602">
        <v>5</v>
      </c>
      <c r="G602" t="str">
        <f>IFERROR(VLOOKUP(Simulated_Dept_Data[[#This Row],[ProfileID]],Table57[],2,FALSE),"NO PROFILE")</f>
        <v>Pinched Pockets</v>
      </c>
      <c r="H602">
        <v>1931.01</v>
      </c>
      <c r="I602">
        <v>1232</v>
      </c>
    </row>
    <row r="603" spans="1:9" x14ac:dyDescent="0.25">
      <c r="A603" t="s">
        <v>13</v>
      </c>
      <c r="B603" t="str">
        <f>VLOOKUP(Simulated_Dept_Data[[#This Row],[DepartmentID]],Table578[],2,FALSE)</f>
        <v>Store Use</v>
      </c>
      <c r="C603">
        <v>2023</v>
      </c>
      <c r="D603">
        <v>1</v>
      </c>
      <c r="E603" t="str">
        <f>VLOOKUP(Simulated_Dept_Data[[#This Row],[SegmentID]],Table5[],2,FALSE)</f>
        <v>Elite Customers</v>
      </c>
      <c r="F603">
        <v>6</v>
      </c>
      <c r="G603" t="str">
        <f>IFERROR(VLOOKUP(Simulated_Dept_Data[[#This Row],[ProfileID]],Table57[],2,FALSE),"NO PROFILE")</f>
        <v>Normal Families</v>
      </c>
      <c r="H603">
        <v>303.38</v>
      </c>
      <c r="I603">
        <v>488</v>
      </c>
    </row>
    <row r="604" spans="1:9" x14ac:dyDescent="0.25">
      <c r="A604" t="s">
        <v>13</v>
      </c>
      <c r="B604" t="str">
        <f>VLOOKUP(Simulated_Dept_Data[[#This Row],[DepartmentID]],Table578[],2,FALSE)</f>
        <v>Store Use</v>
      </c>
      <c r="C604">
        <v>2023</v>
      </c>
      <c r="D604">
        <v>2</v>
      </c>
      <c r="E604" t="str">
        <f>VLOOKUP(Simulated_Dept_Data[[#This Row],[SegmentID]],Table5[],2,FALSE)</f>
        <v>Core Customers</v>
      </c>
      <c r="G604" t="str">
        <f>IFERROR(VLOOKUP(Simulated_Dept_Data[[#This Row],[ProfileID]],Table57[],2,FALSE),"NO PROFILE")</f>
        <v>NO PROFILE</v>
      </c>
      <c r="H604">
        <v>2291.5300000000002</v>
      </c>
      <c r="I604">
        <v>1518</v>
      </c>
    </row>
    <row r="605" spans="1:9" x14ac:dyDescent="0.25">
      <c r="A605" t="s">
        <v>13</v>
      </c>
      <c r="B605" t="str">
        <f>VLOOKUP(Simulated_Dept_Data[[#This Row],[DepartmentID]],Table578[],2,FALSE)</f>
        <v>Store Use</v>
      </c>
      <c r="C605">
        <v>2023</v>
      </c>
      <c r="D605">
        <v>2</v>
      </c>
      <c r="E605" t="str">
        <f>VLOOKUP(Simulated_Dept_Data[[#This Row],[SegmentID]],Table5[],2,FALSE)</f>
        <v>Core Customers</v>
      </c>
      <c r="F605">
        <v>1</v>
      </c>
      <c r="G605" t="str">
        <f>IFERROR(VLOOKUP(Simulated_Dept_Data[[#This Row],[ProfileID]],Table57[],2,FALSE),"NO PROFILE")</f>
        <v>City Slickers</v>
      </c>
      <c r="H605">
        <v>548.22</v>
      </c>
      <c r="I605">
        <v>743</v>
      </c>
    </row>
    <row r="606" spans="1:9" x14ac:dyDescent="0.25">
      <c r="A606" t="s">
        <v>13</v>
      </c>
      <c r="B606" t="str">
        <f>VLOOKUP(Simulated_Dept_Data[[#This Row],[DepartmentID]],Table578[],2,FALSE)</f>
        <v>Store Use</v>
      </c>
      <c r="C606">
        <v>2023</v>
      </c>
      <c r="D606">
        <v>2</v>
      </c>
      <c r="E606" t="str">
        <f>VLOOKUP(Simulated_Dept_Data[[#This Row],[SegmentID]],Table5[],2,FALSE)</f>
        <v>Core Customers</v>
      </c>
      <c r="F606">
        <v>2</v>
      </c>
      <c r="G606" t="str">
        <f>IFERROR(VLOOKUP(Simulated_Dept_Data[[#This Row],[ProfileID]],Table57[],2,FALSE),"NO PROFILE")</f>
        <v>Rich &amp; Richer</v>
      </c>
      <c r="H606">
        <v>876.48</v>
      </c>
      <c r="I606">
        <v>939</v>
      </c>
    </row>
    <row r="607" spans="1:9" x14ac:dyDescent="0.25">
      <c r="A607" t="s">
        <v>13</v>
      </c>
      <c r="B607" t="str">
        <f>VLOOKUP(Simulated_Dept_Data[[#This Row],[DepartmentID]],Table578[],2,FALSE)</f>
        <v>Store Use</v>
      </c>
      <c r="C607">
        <v>2023</v>
      </c>
      <c r="D607">
        <v>2</v>
      </c>
      <c r="E607" t="str">
        <f>VLOOKUP(Simulated_Dept_Data[[#This Row],[SegmentID]],Table5[],2,FALSE)</f>
        <v>Core Customers</v>
      </c>
      <c r="F607">
        <v>3</v>
      </c>
      <c r="G607" t="str">
        <f>IFERROR(VLOOKUP(Simulated_Dept_Data[[#This Row],[ProfileID]],Table57[],2,FALSE),"NO PROFILE")</f>
        <v>Mr. &amp; Mrs. Smiths</v>
      </c>
      <c r="H607">
        <v>1918.32</v>
      </c>
      <c r="I607">
        <v>1389</v>
      </c>
    </row>
    <row r="608" spans="1:9" x14ac:dyDescent="0.25">
      <c r="A608" t="s">
        <v>13</v>
      </c>
      <c r="B608" t="str">
        <f>VLOOKUP(Simulated_Dept_Data[[#This Row],[DepartmentID]],Table578[],2,FALSE)</f>
        <v>Store Use</v>
      </c>
      <c r="C608">
        <v>2023</v>
      </c>
      <c r="D608">
        <v>2</v>
      </c>
      <c r="E608" t="str">
        <f>VLOOKUP(Simulated_Dept_Data[[#This Row],[SegmentID]],Table5[],2,FALSE)</f>
        <v>Core Customers</v>
      </c>
      <c r="F608">
        <v>4</v>
      </c>
      <c r="G608" t="str">
        <f>IFERROR(VLOOKUP(Simulated_Dept_Data[[#This Row],[ProfileID]],Table57[],2,FALSE),"NO PROFILE")</f>
        <v>Blue Collar Royalty</v>
      </c>
      <c r="H608">
        <v>1.35</v>
      </c>
      <c r="I608">
        <v>37</v>
      </c>
    </row>
    <row r="609" spans="1:9" x14ac:dyDescent="0.25">
      <c r="A609" t="s">
        <v>13</v>
      </c>
      <c r="B609" t="str">
        <f>VLOOKUP(Simulated_Dept_Data[[#This Row],[DepartmentID]],Table578[],2,FALSE)</f>
        <v>Store Use</v>
      </c>
      <c r="C609">
        <v>2023</v>
      </c>
      <c r="D609">
        <v>2</v>
      </c>
      <c r="E609" t="str">
        <f>VLOOKUP(Simulated_Dept_Data[[#This Row],[SegmentID]],Table5[],2,FALSE)</f>
        <v>Core Customers</v>
      </c>
      <c r="F609">
        <v>5</v>
      </c>
      <c r="G609" t="str">
        <f>IFERROR(VLOOKUP(Simulated_Dept_Data[[#This Row],[ProfileID]],Table57[],2,FALSE),"NO PROFILE")</f>
        <v>Pinched Pockets</v>
      </c>
      <c r="H609">
        <v>398.48</v>
      </c>
      <c r="I609">
        <v>633</v>
      </c>
    </row>
    <row r="610" spans="1:9" x14ac:dyDescent="0.25">
      <c r="A610" t="s">
        <v>13</v>
      </c>
      <c r="B610" t="str">
        <f>VLOOKUP(Simulated_Dept_Data[[#This Row],[DepartmentID]],Table578[],2,FALSE)</f>
        <v>Store Use</v>
      </c>
      <c r="C610">
        <v>2023</v>
      </c>
      <c r="D610">
        <v>2</v>
      </c>
      <c r="E610" t="str">
        <f>VLOOKUP(Simulated_Dept_Data[[#This Row],[SegmentID]],Table5[],2,FALSE)</f>
        <v>Core Customers</v>
      </c>
      <c r="F610">
        <v>6</v>
      </c>
      <c r="G610" t="str">
        <f>IFERROR(VLOOKUP(Simulated_Dept_Data[[#This Row],[ProfileID]],Table57[],2,FALSE),"NO PROFILE")</f>
        <v>Normal Families</v>
      </c>
      <c r="H610">
        <v>239.84</v>
      </c>
      <c r="I610">
        <v>491</v>
      </c>
    </row>
    <row r="611" spans="1:9" x14ac:dyDescent="0.25">
      <c r="A611" t="s">
        <v>13</v>
      </c>
      <c r="B611" t="str">
        <f>VLOOKUP(Simulated_Dept_Data[[#This Row],[DepartmentID]],Table578[],2,FALSE)</f>
        <v>Store Use</v>
      </c>
      <c r="C611">
        <v>2023</v>
      </c>
      <c r="D611">
        <v>3</v>
      </c>
      <c r="E611" t="str">
        <f>VLOOKUP(Simulated_Dept_Data[[#This Row],[SegmentID]],Table5[],2,FALSE)</f>
        <v>Power Shoppers</v>
      </c>
      <c r="G611" t="str">
        <f>IFERROR(VLOOKUP(Simulated_Dept_Data[[#This Row],[ProfileID]],Table57[],2,FALSE),"NO PROFILE")</f>
        <v>NO PROFILE</v>
      </c>
      <c r="H611">
        <v>464.64</v>
      </c>
      <c r="I611">
        <v>683</v>
      </c>
    </row>
    <row r="612" spans="1:9" x14ac:dyDescent="0.25">
      <c r="A612" t="s">
        <v>13</v>
      </c>
      <c r="B612" t="str">
        <f>VLOOKUP(Simulated_Dept_Data[[#This Row],[DepartmentID]],Table578[],2,FALSE)</f>
        <v>Store Use</v>
      </c>
      <c r="C612">
        <v>2023</v>
      </c>
      <c r="D612">
        <v>3</v>
      </c>
      <c r="E612" t="str">
        <f>VLOOKUP(Simulated_Dept_Data[[#This Row],[SegmentID]],Table5[],2,FALSE)</f>
        <v>Power Shoppers</v>
      </c>
      <c r="F612">
        <v>1</v>
      </c>
      <c r="G612" t="str">
        <f>IFERROR(VLOOKUP(Simulated_Dept_Data[[#This Row],[ProfileID]],Table57[],2,FALSE),"NO PROFILE")</f>
        <v>City Slickers</v>
      </c>
      <c r="H612">
        <v>2225.1</v>
      </c>
      <c r="I612">
        <v>1495</v>
      </c>
    </row>
    <row r="613" spans="1:9" x14ac:dyDescent="0.25">
      <c r="A613" t="s">
        <v>13</v>
      </c>
      <c r="B613" t="str">
        <f>VLOOKUP(Simulated_Dept_Data[[#This Row],[DepartmentID]],Table578[],2,FALSE)</f>
        <v>Store Use</v>
      </c>
      <c r="C613">
        <v>2023</v>
      </c>
      <c r="D613">
        <v>3</v>
      </c>
      <c r="E613" t="str">
        <f>VLOOKUP(Simulated_Dept_Data[[#This Row],[SegmentID]],Table5[],2,FALSE)</f>
        <v>Power Shoppers</v>
      </c>
      <c r="F613">
        <v>2</v>
      </c>
      <c r="G613" t="str">
        <f>IFERROR(VLOOKUP(Simulated_Dept_Data[[#This Row],[ProfileID]],Table57[],2,FALSE),"NO PROFILE")</f>
        <v>Rich &amp; Richer</v>
      </c>
      <c r="H613">
        <v>304</v>
      </c>
      <c r="I613">
        <v>553</v>
      </c>
    </row>
    <row r="614" spans="1:9" x14ac:dyDescent="0.25">
      <c r="A614" t="s">
        <v>13</v>
      </c>
      <c r="B614" t="str">
        <f>VLOOKUP(Simulated_Dept_Data[[#This Row],[DepartmentID]],Table578[],2,FALSE)</f>
        <v>Store Use</v>
      </c>
      <c r="C614">
        <v>2023</v>
      </c>
      <c r="D614">
        <v>3</v>
      </c>
      <c r="E614" t="str">
        <f>VLOOKUP(Simulated_Dept_Data[[#This Row],[SegmentID]],Table5[],2,FALSE)</f>
        <v>Power Shoppers</v>
      </c>
      <c r="F614">
        <v>3</v>
      </c>
      <c r="G614" t="str">
        <f>IFERROR(VLOOKUP(Simulated_Dept_Data[[#This Row],[ProfileID]],Table57[],2,FALSE),"NO PROFILE")</f>
        <v>Mr. &amp; Mrs. Smiths</v>
      </c>
      <c r="H614">
        <v>43.58</v>
      </c>
      <c r="I614">
        <v>209</v>
      </c>
    </row>
    <row r="615" spans="1:9" x14ac:dyDescent="0.25">
      <c r="A615" t="s">
        <v>13</v>
      </c>
      <c r="B615" t="str">
        <f>VLOOKUP(Simulated_Dept_Data[[#This Row],[DepartmentID]],Table578[],2,FALSE)</f>
        <v>Store Use</v>
      </c>
      <c r="C615">
        <v>2023</v>
      </c>
      <c r="D615">
        <v>3</v>
      </c>
      <c r="E615" t="str">
        <f>VLOOKUP(Simulated_Dept_Data[[#This Row],[SegmentID]],Table5[],2,FALSE)</f>
        <v>Power Shoppers</v>
      </c>
      <c r="F615">
        <v>4</v>
      </c>
      <c r="G615" t="str">
        <f>IFERROR(VLOOKUP(Simulated_Dept_Data[[#This Row],[ProfileID]],Table57[],2,FALSE),"NO PROFILE")</f>
        <v>Blue Collar Royalty</v>
      </c>
      <c r="H615">
        <v>1308.73</v>
      </c>
      <c r="I615">
        <v>1146</v>
      </c>
    </row>
    <row r="616" spans="1:9" x14ac:dyDescent="0.25">
      <c r="A616" t="s">
        <v>13</v>
      </c>
      <c r="B616" t="str">
        <f>VLOOKUP(Simulated_Dept_Data[[#This Row],[DepartmentID]],Table578[],2,FALSE)</f>
        <v>Store Use</v>
      </c>
      <c r="C616">
        <v>2023</v>
      </c>
      <c r="D616">
        <v>3</v>
      </c>
      <c r="E616" t="str">
        <f>VLOOKUP(Simulated_Dept_Data[[#This Row],[SegmentID]],Table5[],2,FALSE)</f>
        <v>Power Shoppers</v>
      </c>
      <c r="F616">
        <v>5</v>
      </c>
      <c r="G616" t="str">
        <f>IFERROR(VLOOKUP(Simulated_Dept_Data[[#This Row],[ProfileID]],Table57[],2,FALSE),"NO PROFILE")</f>
        <v>Pinched Pockets</v>
      </c>
      <c r="H616">
        <v>472.17</v>
      </c>
      <c r="I616">
        <v>689</v>
      </c>
    </row>
    <row r="617" spans="1:9" x14ac:dyDescent="0.25">
      <c r="A617" t="s">
        <v>13</v>
      </c>
      <c r="B617" t="str">
        <f>VLOOKUP(Simulated_Dept_Data[[#This Row],[DepartmentID]],Table578[],2,FALSE)</f>
        <v>Store Use</v>
      </c>
      <c r="C617">
        <v>2023</v>
      </c>
      <c r="D617">
        <v>3</v>
      </c>
      <c r="E617" t="str">
        <f>VLOOKUP(Simulated_Dept_Data[[#This Row],[SegmentID]],Table5[],2,FALSE)</f>
        <v>Power Shoppers</v>
      </c>
      <c r="F617">
        <v>6</v>
      </c>
      <c r="G617" t="str">
        <f>IFERROR(VLOOKUP(Simulated_Dept_Data[[#This Row],[ProfileID]],Table57[],2,FALSE),"NO PROFILE")</f>
        <v>Normal Families</v>
      </c>
      <c r="H617">
        <v>13.68</v>
      </c>
      <c r="I617">
        <v>117</v>
      </c>
    </row>
    <row r="618" spans="1:9" x14ac:dyDescent="0.25">
      <c r="A618" t="s">
        <v>13</v>
      </c>
      <c r="B618" t="str">
        <f>VLOOKUP(Simulated_Dept_Data[[#This Row],[DepartmentID]],Table578[],2,FALSE)</f>
        <v>Store Use</v>
      </c>
      <c r="C618">
        <v>2023</v>
      </c>
      <c r="D618">
        <v>4</v>
      </c>
      <c r="E618" t="str">
        <f>VLOOKUP(Simulated_Dept_Data[[#This Row],[SegmentID]],Table5[],2,FALSE)</f>
        <v>Infrequent Customers</v>
      </c>
      <c r="G618" t="str">
        <f>IFERROR(VLOOKUP(Simulated_Dept_Data[[#This Row],[ProfileID]],Table57[],2,FALSE),"NO PROFILE")</f>
        <v>NO PROFILE</v>
      </c>
      <c r="H618">
        <v>479.52</v>
      </c>
      <c r="I618">
        <v>666</v>
      </c>
    </row>
    <row r="619" spans="1:9" x14ac:dyDescent="0.25">
      <c r="A619" t="s">
        <v>13</v>
      </c>
      <c r="B619" t="str">
        <f>VLOOKUP(Simulated_Dept_Data[[#This Row],[DepartmentID]],Table578[],2,FALSE)</f>
        <v>Store Use</v>
      </c>
      <c r="C619">
        <v>2023</v>
      </c>
      <c r="D619">
        <v>4</v>
      </c>
      <c r="E619" t="str">
        <f>VLOOKUP(Simulated_Dept_Data[[#This Row],[SegmentID]],Table5[],2,FALSE)</f>
        <v>Infrequent Customers</v>
      </c>
      <c r="F619">
        <v>1</v>
      </c>
      <c r="G619" t="str">
        <f>IFERROR(VLOOKUP(Simulated_Dept_Data[[#This Row],[ProfileID]],Table57[],2,FALSE),"NO PROFILE")</f>
        <v>City Slickers</v>
      </c>
      <c r="H619">
        <v>1928.82</v>
      </c>
      <c r="I619">
        <v>1335</v>
      </c>
    </row>
    <row r="620" spans="1:9" x14ac:dyDescent="0.25">
      <c r="A620" t="s">
        <v>13</v>
      </c>
      <c r="B620" t="str">
        <f>VLOOKUP(Simulated_Dept_Data[[#This Row],[DepartmentID]],Table578[],2,FALSE)</f>
        <v>Store Use</v>
      </c>
      <c r="C620">
        <v>2023</v>
      </c>
      <c r="D620">
        <v>4</v>
      </c>
      <c r="E620" t="str">
        <f>VLOOKUP(Simulated_Dept_Data[[#This Row],[SegmentID]],Table5[],2,FALSE)</f>
        <v>Infrequent Customers</v>
      </c>
      <c r="F620">
        <v>2</v>
      </c>
      <c r="G620" t="str">
        <f>IFERROR(VLOOKUP(Simulated_Dept_Data[[#This Row],[ProfileID]],Table57[],2,FALSE),"NO PROFILE")</f>
        <v>Rich &amp; Richer</v>
      </c>
      <c r="H620">
        <v>44.99</v>
      </c>
      <c r="I620">
        <v>204</v>
      </c>
    </row>
    <row r="621" spans="1:9" x14ac:dyDescent="0.25">
      <c r="A621" t="s">
        <v>13</v>
      </c>
      <c r="B621" t="str">
        <f>VLOOKUP(Simulated_Dept_Data[[#This Row],[DepartmentID]],Table578[],2,FALSE)</f>
        <v>Store Use</v>
      </c>
      <c r="C621">
        <v>2023</v>
      </c>
      <c r="D621">
        <v>4</v>
      </c>
      <c r="E621" t="str">
        <f>VLOOKUP(Simulated_Dept_Data[[#This Row],[SegmentID]],Table5[],2,FALSE)</f>
        <v>Infrequent Customers</v>
      </c>
      <c r="F621">
        <v>3</v>
      </c>
      <c r="G621" t="str">
        <f>IFERROR(VLOOKUP(Simulated_Dept_Data[[#This Row],[ProfileID]],Table57[],2,FALSE),"NO PROFILE")</f>
        <v>Mr. &amp; Mrs. Smiths</v>
      </c>
      <c r="H621">
        <v>380.43</v>
      </c>
      <c r="I621">
        <v>593</v>
      </c>
    </row>
    <row r="622" spans="1:9" x14ac:dyDescent="0.25">
      <c r="A622" t="s">
        <v>13</v>
      </c>
      <c r="B622" t="str">
        <f>VLOOKUP(Simulated_Dept_Data[[#This Row],[DepartmentID]],Table578[],2,FALSE)</f>
        <v>Store Use</v>
      </c>
      <c r="C622">
        <v>2023</v>
      </c>
      <c r="D622">
        <v>4</v>
      </c>
      <c r="E622" t="str">
        <f>VLOOKUP(Simulated_Dept_Data[[#This Row],[SegmentID]],Table5[],2,FALSE)</f>
        <v>Infrequent Customers</v>
      </c>
      <c r="F622">
        <v>4</v>
      </c>
      <c r="G622" t="str">
        <f>IFERROR(VLOOKUP(Simulated_Dept_Data[[#This Row],[ProfileID]],Table57[],2,FALSE),"NO PROFILE")</f>
        <v>Blue Collar Royalty</v>
      </c>
      <c r="H622">
        <v>1798.52</v>
      </c>
      <c r="I622">
        <v>1289</v>
      </c>
    </row>
    <row r="623" spans="1:9" x14ac:dyDescent="0.25">
      <c r="A623" t="s">
        <v>13</v>
      </c>
      <c r="B623" t="str">
        <f>VLOOKUP(Simulated_Dept_Data[[#This Row],[DepartmentID]],Table578[],2,FALSE)</f>
        <v>Store Use</v>
      </c>
      <c r="C623">
        <v>2023</v>
      </c>
      <c r="D623">
        <v>4</v>
      </c>
      <c r="E623" t="str">
        <f>VLOOKUP(Simulated_Dept_Data[[#This Row],[SegmentID]],Table5[],2,FALSE)</f>
        <v>Infrequent Customers</v>
      </c>
      <c r="F623">
        <v>5</v>
      </c>
      <c r="G623" t="str">
        <f>IFERROR(VLOOKUP(Simulated_Dept_Data[[#This Row],[ProfileID]],Table57[],2,FALSE),"NO PROFILE")</f>
        <v>Pinched Pockets</v>
      </c>
      <c r="H623">
        <v>3.83</v>
      </c>
      <c r="I623">
        <v>59</v>
      </c>
    </row>
    <row r="624" spans="1:9" x14ac:dyDescent="0.25">
      <c r="A624" t="s">
        <v>13</v>
      </c>
      <c r="B624" t="str">
        <f>VLOOKUP(Simulated_Dept_Data[[#This Row],[DepartmentID]],Table578[],2,FALSE)</f>
        <v>Store Use</v>
      </c>
      <c r="C624">
        <v>2023</v>
      </c>
      <c r="D624">
        <v>4</v>
      </c>
      <c r="E624" t="str">
        <f>VLOOKUP(Simulated_Dept_Data[[#This Row],[SegmentID]],Table5[],2,FALSE)</f>
        <v>Infrequent Customers</v>
      </c>
      <c r="F624">
        <v>6</v>
      </c>
      <c r="G624" t="str">
        <f>IFERROR(VLOOKUP(Simulated_Dept_Data[[#This Row],[ProfileID]],Table57[],2,FALSE),"NO PROFILE")</f>
        <v>Normal Families</v>
      </c>
      <c r="H624">
        <v>193.37</v>
      </c>
      <c r="I624">
        <v>423</v>
      </c>
    </row>
    <row r="625" spans="1:9" x14ac:dyDescent="0.25">
      <c r="A625" t="s">
        <v>13</v>
      </c>
      <c r="B625" t="str">
        <f>VLOOKUP(Simulated_Dept_Data[[#This Row],[DepartmentID]],Table578[],2,FALSE)</f>
        <v>Store Use</v>
      </c>
      <c r="C625">
        <v>2023</v>
      </c>
      <c r="D625">
        <v>5</v>
      </c>
      <c r="E625" t="str">
        <f>VLOOKUP(Simulated_Dept_Data[[#This Row],[SegmentID]],Table5[],2,FALSE)</f>
        <v>New Customers</v>
      </c>
      <c r="G625" t="str">
        <f>IFERROR(VLOOKUP(Simulated_Dept_Data[[#This Row],[ProfileID]],Table57[],2,FALSE),"NO PROFILE")</f>
        <v>NO PROFILE</v>
      </c>
      <c r="H625">
        <v>4061.39</v>
      </c>
      <c r="I625">
        <v>1935</v>
      </c>
    </row>
    <row r="626" spans="1:9" x14ac:dyDescent="0.25">
      <c r="A626" t="s">
        <v>13</v>
      </c>
      <c r="B626" t="str">
        <f>VLOOKUP(Simulated_Dept_Data[[#This Row],[DepartmentID]],Table578[],2,FALSE)</f>
        <v>Store Use</v>
      </c>
      <c r="C626">
        <v>2023</v>
      </c>
      <c r="D626">
        <v>5</v>
      </c>
      <c r="E626" t="str">
        <f>VLOOKUP(Simulated_Dept_Data[[#This Row],[SegmentID]],Table5[],2,FALSE)</f>
        <v>New Customers</v>
      </c>
      <c r="F626">
        <v>1</v>
      </c>
      <c r="G626" t="str">
        <f>IFERROR(VLOOKUP(Simulated_Dept_Data[[#This Row],[ProfileID]],Table57[],2,FALSE),"NO PROFILE")</f>
        <v>City Slickers</v>
      </c>
      <c r="H626">
        <v>1369.57</v>
      </c>
      <c r="I626">
        <v>1124</v>
      </c>
    </row>
    <row r="627" spans="1:9" x14ac:dyDescent="0.25">
      <c r="A627" t="s">
        <v>13</v>
      </c>
      <c r="B627" t="str">
        <f>VLOOKUP(Simulated_Dept_Data[[#This Row],[DepartmentID]],Table578[],2,FALSE)</f>
        <v>Store Use</v>
      </c>
      <c r="C627">
        <v>2023</v>
      </c>
      <c r="D627">
        <v>5</v>
      </c>
      <c r="E627" t="str">
        <f>VLOOKUP(Simulated_Dept_Data[[#This Row],[SegmentID]],Table5[],2,FALSE)</f>
        <v>New Customers</v>
      </c>
      <c r="F627">
        <v>2</v>
      </c>
      <c r="G627" t="str">
        <f>IFERROR(VLOOKUP(Simulated_Dept_Data[[#This Row],[ProfileID]],Table57[],2,FALSE),"NO PROFILE")</f>
        <v>Rich &amp; Richer</v>
      </c>
      <c r="H627">
        <v>2943.6</v>
      </c>
      <c r="I627">
        <v>1647</v>
      </c>
    </row>
    <row r="628" spans="1:9" x14ac:dyDescent="0.25">
      <c r="A628" t="s">
        <v>13</v>
      </c>
      <c r="B628" t="str">
        <f>VLOOKUP(Simulated_Dept_Data[[#This Row],[DepartmentID]],Table578[],2,FALSE)</f>
        <v>Store Use</v>
      </c>
      <c r="C628">
        <v>2023</v>
      </c>
      <c r="D628">
        <v>5</v>
      </c>
      <c r="E628" t="str">
        <f>VLOOKUP(Simulated_Dept_Data[[#This Row],[SegmentID]],Table5[],2,FALSE)</f>
        <v>New Customers</v>
      </c>
      <c r="F628">
        <v>3</v>
      </c>
      <c r="G628" t="str">
        <f>IFERROR(VLOOKUP(Simulated_Dept_Data[[#This Row],[ProfileID]],Table57[],2,FALSE),"NO PROFILE")</f>
        <v>Mr. &amp; Mrs. Smiths</v>
      </c>
      <c r="H628">
        <v>4502.96</v>
      </c>
      <c r="I628">
        <v>2038</v>
      </c>
    </row>
    <row r="629" spans="1:9" x14ac:dyDescent="0.25">
      <c r="A629" t="s">
        <v>13</v>
      </c>
      <c r="B629" t="str">
        <f>VLOOKUP(Simulated_Dept_Data[[#This Row],[DepartmentID]],Table578[],2,FALSE)</f>
        <v>Store Use</v>
      </c>
      <c r="C629">
        <v>2023</v>
      </c>
      <c r="D629">
        <v>5</v>
      </c>
      <c r="E629" t="str">
        <f>VLOOKUP(Simulated_Dept_Data[[#This Row],[SegmentID]],Table5[],2,FALSE)</f>
        <v>New Customers</v>
      </c>
      <c r="F629">
        <v>4</v>
      </c>
      <c r="G629" t="str">
        <f>IFERROR(VLOOKUP(Simulated_Dept_Data[[#This Row],[ProfileID]],Table57[],2,FALSE),"NO PROFILE")</f>
        <v>Blue Collar Royalty</v>
      </c>
      <c r="H629">
        <v>5.61</v>
      </c>
      <c r="I629">
        <v>72</v>
      </c>
    </row>
    <row r="630" spans="1:9" x14ac:dyDescent="0.25">
      <c r="A630" t="s">
        <v>13</v>
      </c>
      <c r="B630" t="str">
        <f>VLOOKUP(Simulated_Dept_Data[[#This Row],[DepartmentID]],Table578[],2,FALSE)</f>
        <v>Store Use</v>
      </c>
      <c r="C630">
        <v>2023</v>
      </c>
      <c r="D630">
        <v>5</v>
      </c>
      <c r="E630" t="str">
        <f>VLOOKUP(Simulated_Dept_Data[[#This Row],[SegmentID]],Table5[],2,FALSE)</f>
        <v>New Customers</v>
      </c>
      <c r="F630">
        <v>5</v>
      </c>
      <c r="G630" t="str">
        <f>IFERROR(VLOOKUP(Simulated_Dept_Data[[#This Row],[ProfileID]],Table57[],2,FALSE),"NO PROFILE")</f>
        <v>Pinched Pockets</v>
      </c>
      <c r="H630">
        <v>6.84</v>
      </c>
      <c r="I630">
        <v>79</v>
      </c>
    </row>
    <row r="631" spans="1:9" x14ac:dyDescent="0.25">
      <c r="A631" t="s">
        <v>13</v>
      </c>
      <c r="B631" t="str">
        <f>VLOOKUP(Simulated_Dept_Data[[#This Row],[DepartmentID]],Table578[],2,FALSE)</f>
        <v>Store Use</v>
      </c>
      <c r="C631">
        <v>2023</v>
      </c>
      <c r="D631">
        <v>5</v>
      </c>
      <c r="E631" t="str">
        <f>VLOOKUP(Simulated_Dept_Data[[#This Row],[SegmentID]],Table5[],2,FALSE)</f>
        <v>New Customers</v>
      </c>
      <c r="F631">
        <v>6</v>
      </c>
      <c r="G631" t="str">
        <f>IFERROR(VLOOKUP(Simulated_Dept_Data[[#This Row],[ProfileID]],Table57[],2,FALSE),"NO PROFILE")</f>
        <v>Normal Families</v>
      </c>
      <c r="H631">
        <v>34.19</v>
      </c>
      <c r="I631">
        <v>178</v>
      </c>
    </row>
    <row r="632" spans="1:9" x14ac:dyDescent="0.25">
      <c r="A632" t="s">
        <v>14</v>
      </c>
      <c r="B632" t="str">
        <f>VLOOKUP(Simulated_Dept_Data[[#This Row],[DepartmentID]],Table578[],2,FALSE)</f>
        <v>Misc</v>
      </c>
      <c r="C632">
        <v>2022</v>
      </c>
      <c r="D632">
        <v>1</v>
      </c>
      <c r="E632" t="str">
        <f>VLOOKUP(Simulated_Dept_Data[[#This Row],[SegmentID]],Table5[],2,FALSE)</f>
        <v>Elite Customers</v>
      </c>
      <c r="G632" t="str">
        <f>IFERROR(VLOOKUP(Simulated_Dept_Data[[#This Row],[ProfileID]],Table57[],2,FALSE),"NO PROFILE")</f>
        <v>NO PROFILE</v>
      </c>
      <c r="H632">
        <v>6577.58</v>
      </c>
      <c r="I632">
        <v>2019</v>
      </c>
    </row>
    <row r="633" spans="1:9" x14ac:dyDescent="0.25">
      <c r="A633" t="s">
        <v>14</v>
      </c>
      <c r="B633" t="str">
        <f>VLOOKUP(Simulated_Dept_Data[[#This Row],[DepartmentID]],Table578[],2,FALSE)</f>
        <v>Misc</v>
      </c>
      <c r="C633">
        <v>2022</v>
      </c>
      <c r="D633">
        <v>1</v>
      </c>
      <c r="E633" t="str">
        <f>VLOOKUP(Simulated_Dept_Data[[#This Row],[SegmentID]],Table5[],2,FALSE)</f>
        <v>Elite Customers</v>
      </c>
      <c r="F633">
        <v>1</v>
      </c>
      <c r="G633" t="str">
        <f>IFERROR(VLOOKUP(Simulated_Dept_Data[[#This Row],[ProfileID]],Table57[],2,FALSE),"NO PROFILE")</f>
        <v>City Slickers</v>
      </c>
      <c r="H633">
        <v>20727.740000000002</v>
      </c>
      <c r="I633">
        <v>3584</v>
      </c>
    </row>
    <row r="634" spans="1:9" x14ac:dyDescent="0.25">
      <c r="A634" t="s">
        <v>14</v>
      </c>
      <c r="B634" t="str">
        <f>VLOOKUP(Simulated_Dept_Data[[#This Row],[DepartmentID]],Table578[],2,FALSE)</f>
        <v>Misc</v>
      </c>
      <c r="C634">
        <v>2022</v>
      </c>
      <c r="D634">
        <v>1</v>
      </c>
      <c r="E634" t="str">
        <f>VLOOKUP(Simulated_Dept_Data[[#This Row],[SegmentID]],Table5[],2,FALSE)</f>
        <v>Elite Customers</v>
      </c>
      <c r="F634">
        <v>2</v>
      </c>
      <c r="G634" t="str">
        <f>IFERROR(VLOOKUP(Simulated_Dept_Data[[#This Row],[ProfileID]],Table57[],2,FALSE),"NO PROFILE")</f>
        <v>Rich &amp; Richer</v>
      </c>
      <c r="H634">
        <v>23573.17</v>
      </c>
      <c r="I634">
        <v>3822</v>
      </c>
    </row>
    <row r="635" spans="1:9" x14ac:dyDescent="0.25">
      <c r="A635" t="s">
        <v>14</v>
      </c>
      <c r="B635" t="str">
        <f>VLOOKUP(Simulated_Dept_Data[[#This Row],[DepartmentID]],Table578[],2,FALSE)</f>
        <v>Misc</v>
      </c>
      <c r="C635">
        <v>2022</v>
      </c>
      <c r="D635">
        <v>1</v>
      </c>
      <c r="E635" t="str">
        <f>VLOOKUP(Simulated_Dept_Data[[#This Row],[SegmentID]],Table5[],2,FALSE)</f>
        <v>Elite Customers</v>
      </c>
      <c r="F635">
        <v>3</v>
      </c>
      <c r="G635" t="str">
        <f>IFERROR(VLOOKUP(Simulated_Dept_Data[[#This Row],[ProfileID]],Table57[],2,FALSE),"NO PROFILE")</f>
        <v>Mr. &amp; Mrs. Smiths</v>
      </c>
      <c r="H635">
        <v>24111.52</v>
      </c>
      <c r="I635">
        <v>3865</v>
      </c>
    </row>
    <row r="636" spans="1:9" x14ac:dyDescent="0.25">
      <c r="A636" t="s">
        <v>14</v>
      </c>
      <c r="B636" t="str">
        <f>VLOOKUP(Simulated_Dept_Data[[#This Row],[DepartmentID]],Table578[],2,FALSE)</f>
        <v>Misc</v>
      </c>
      <c r="C636">
        <v>2022</v>
      </c>
      <c r="D636">
        <v>1</v>
      </c>
      <c r="E636" t="str">
        <f>VLOOKUP(Simulated_Dept_Data[[#This Row],[SegmentID]],Table5[],2,FALSE)</f>
        <v>Elite Customers</v>
      </c>
      <c r="F636">
        <v>4</v>
      </c>
      <c r="G636" t="str">
        <f>IFERROR(VLOOKUP(Simulated_Dept_Data[[#This Row],[ProfileID]],Table57[],2,FALSE),"NO PROFILE")</f>
        <v>Blue Collar Royalty</v>
      </c>
      <c r="H636">
        <v>6597.48</v>
      </c>
      <c r="I636">
        <v>2023</v>
      </c>
    </row>
    <row r="637" spans="1:9" x14ac:dyDescent="0.25">
      <c r="A637" t="s">
        <v>14</v>
      </c>
      <c r="B637" t="str">
        <f>VLOOKUP(Simulated_Dept_Data[[#This Row],[DepartmentID]],Table578[],2,FALSE)</f>
        <v>Misc</v>
      </c>
      <c r="C637">
        <v>2022</v>
      </c>
      <c r="D637">
        <v>1</v>
      </c>
      <c r="E637" t="str">
        <f>VLOOKUP(Simulated_Dept_Data[[#This Row],[SegmentID]],Table5[],2,FALSE)</f>
        <v>Elite Customers</v>
      </c>
      <c r="F637">
        <v>5</v>
      </c>
      <c r="G637" t="str">
        <f>IFERROR(VLOOKUP(Simulated_Dept_Data[[#This Row],[ProfileID]],Table57[],2,FALSE),"NO PROFILE")</f>
        <v>Pinched Pockets</v>
      </c>
      <c r="H637">
        <v>31947.58</v>
      </c>
      <c r="I637">
        <v>4449</v>
      </c>
    </row>
    <row r="638" spans="1:9" x14ac:dyDescent="0.25">
      <c r="A638" t="s">
        <v>14</v>
      </c>
      <c r="B638" t="str">
        <f>VLOOKUP(Simulated_Dept_Data[[#This Row],[DepartmentID]],Table578[],2,FALSE)</f>
        <v>Misc</v>
      </c>
      <c r="C638">
        <v>2022</v>
      </c>
      <c r="D638">
        <v>1</v>
      </c>
      <c r="E638" t="str">
        <f>VLOOKUP(Simulated_Dept_Data[[#This Row],[SegmentID]],Table5[],2,FALSE)</f>
        <v>Elite Customers</v>
      </c>
      <c r="F638">
        <v>6</v>
      </c>
      <c r="G638" t="str">
        <f>IFERROR(VLOOKUP(Simulated_Dept_Data[[#This Row],[ProfileID]],Table57[],2,FALSE),"NO PROFILE")</f>
        <v>Normal Families</v>
      </c>
      <c r="H638">
        <v>5019.33</v>
      </c>
      <c r="I638">
        <v>1764</v>
      </c>
    </row>
    <row r="639" spans="1:9" x14ac:dyDescent="0.25">
      <c r="A639" t="s">
        <v>14</v>
      </c>
      <c r="B639" t="str">
        <f>VLOOKUP(Simulated_Dept_Data[[#This Row],[DepartmentID]],Table578[],2,FALSE)</f>
        <v>Misc</v>
      </c>
      <c r="C639">
        <v>2022</v>
      </c>
      <c r="D639">
        <v>2</v>
      </c>
      <c r="E639" t="str">
        <f>VLOOKUP(Simulated_Dept_Data[[#This Row],[SegmentID]],Table5[],2,FALSE)</f>
        <v>Core Customers</v>
      </c>
      <c r="G639" t="str">
        <f>IFERROR(VLOOKUP(Simulated_Dept_Data[[#This Row],[ProfileID]],Table57[],2,FALSE),"NO PROFILE")</f>
        <v>NO PROFILE</v>
      </c>
      <c r="H639">
        <v>29736.76</v>
      </c>
      <c r="I639">
        <v>4163</v>
      </c>
    </row>
    <row r="640" spans="1:9" x14ac:dyDescent="0.25">
      <c r="A640" t="s">
        <v>14</v>
      </c>
      <c r="B640" t="str">
        <f>VLOOKUP(Simulated_Dept_Data[[#This Row],[DepartmentID]],Table578[],2,FALSE)</f>
        <v>Misc</v>
      </c>
      <c r="C640">
        <v>2022</v>
      </c>
      <c r="D640">
        <v>2</v>
      </c>
      <c r="E640" t="str">
        <f>VLOOKUP(Simulated_Dept_Data[[#This Row],[SegmentID]],Table5[],2,FALSE)</f>
        <v>Core Customers</v>
      </c>
      <c r="F640">
        <v>1</v>
      </c>
      <c r="G640" t="str">
        <f>IFERROR(VLOOKUP(Simulated_Dept_Data[[#This Row],[ProfileID]],Table57[],2,FALSE),"NO PROFILE")</f>
        <v>City Slickers</v>
      </c>
      <c r="H640">
        <v>7114.15</v>
      </c>
      <c r="I640">
        <v>2036</v>
      </c>
    </row>
    <row r="641" spans="1:9" x14ac:dyDescent="0.25">
      <c r="A641" t="s">
        <v>14</v>
      </c>
      <c r="B641" t="str">
        <f>VLOOKUP(Simulated_Dept_Data[[#This Row],[DepartmentID]],Table578[],2,FALSE)</f>
        <v>Misc</v>
      </c>
      <c r="C641">
        <v>2022</v>
      </c>
      <c r="D641">
        <v>2</v>
      </c>
      <c r="E641" t="str">
        <f>VLOOKUP(Simulated_Dept_Data[[#This Row],[SegmentID]],Table5[],2,FALSE)</f>
        <v>Core Customers</v>
      </c>
      <c r="F641">
        <v>2</v>
      </c>
      <c r="G641" t="str">
        <f>IFERROR(VLOOKUP(Simulated_Dept_Data[[#This Row],[ProfileID]],Table57[],2,FALSE),"NO PROFILE")</f>
        <v>Rich &amp; Richer</v>
      </c>
      <c r="H641">
        <v>11373.98</v>
      </c>
      <c r="I641">
        <v>2575</v>
      </c>
    </row>
    <row r="642" spans="1:9" x14ac:dyDescent="0.25">
      <c r="A642" t="s">
        <v>14</v>
      </c>
      <c r="B642" t="str">
        <f>VLOOKUP(Simulated_Dept_Data[[#This Row],[DepartmentID]],Table578[],2,FALSE)</f>
        <v>Misc</v>
      </c>
      <c r="C642">
        <v>2022</v>
      </c>
      <c r="D642">
        <v>2</v>
      </c>
      <c r="E642" t="str">
        <f>VLOOKUP(Simulated_Dept_Data[[#This Row],[SegmentID]],Table5[],2,FALSE)</f>
        <v>Core Customers</v>
      </c>
      <c r="F642">
        <v>3</v>
      </c>
      <c r="G642" t="str">
        <f>IFERROR(VLOOKUP(Simulated_Dept_Data[[#This Row],[ProfileID]],Table57[],2,FALSE),"NO PROFILE")</f>
        <v>Mr. &amp; Mrs. Smiths</v>
      </c>
      <c r="H642">
        <v>24893.67</v>
      </c>
      <c r="I642">
        <v>3809</v>
      </c>
    </row>
    <row r="643" spans="1:9" x14ac:dyDescent="0.25">
      <c r="A643" t="s">
        <v>14</v>
      </c>
      <c r="B643" t="str">
        <f>VLOOKUP(Simulated_Dept_Data[[#This Row],[DepartmentID]],Table578[],2,FALSE)</f>
        <v>Misc</v>
      </c>
      <c r="C643">
        <v>2022</v>
      </c>
      <c r="D643">
        <v>2</v>
      </c>
      <c r="E643" t="str">
        <f>VLOOKUP(Simulated_Dept_Data[[#This Row],[SegmentID]],Table5[],2,FALSE)</f>
        <v>Core Customers</v>
      </c>
      <c r="F643">
        <v>4</v>
      </c>
      <c r="G643" t="str">
        <f>IFERROR(VLOOKUP(Simulated_Dept_Data[[#This Row],[ProfileID]],Table57[],2,FALSE),"NO PROFILE")</f>
        <v>Blue Collar Royalty</v>
      </c>
      <c r="H643">
        <v>17.510000000000002</v>
      </c>
      <c r="I643">
        <v>101</v>
      </c>
    </row>
    <row r="644" spans="1:9" x14ac:dyDescent="0.25">
      <c r="A644" t="s">
        <v>14</v>
      </c>
      <c r="B644" t="str">
        <f>VLOOKUP(Simulated_Dept_Data[[#This Row],[DepartmentID]],Table578[],2,FALSE)</f>
        <v>Misc</v>
      </c>
      <c r="C644">
        <v>2022</v>
      </c>
      <c r="D644">
        <v>2</v>
      </c>
      <c r="E644" t="str">
        <f>VLOOKUP(Simulated_Dept_Data[[#This Row],[SegmentID]],Table5[],2,FALSE)</f>
        <v>Core Customers</v>
      </c>
      <c r="F644">
        <v>5</v>
      </c>
      <c r="G644" t="str">
        <f>IFERROR(VLOOKUP(Simulated_Dept_Data[[#This Row],[ProfileID]],Table57[],2,FALSE),"NO PROFILE")</f>
        <v>Pinched Pockets</v>
      </c>
      <c r="H644">
        <v>5171.04</v>
      </c>
      <c r="I644">
        <v>1736</v>
      </c>
    </row>
    <row r="645" spans="1:9" x14ac:dyDescent="0.25">
      <c r="A645" t="s">
        <v>14</v>
      </c>
      <c r="B645" t="str">
        <f>VLOOKUP(Simulated_Dept_Data[[#This Row],[DepartmentID]],Table578[],2,FALSE)</f>
        <v>Misc</v>
      </c>
      <c r="C645">
        <v>2022</v>
      </c>
      <c r="D645">
        <v>2</v>
      </c>
      <c r="E645" t="str">
        <f>VLOOKUP(Simulated_Dept_Data[[#This Row],[SegmentID]],Table5[],2,FALSE)</f>
        <v>Core Customers</v>
      </c>
      <c r="F645">
        <v>6</v>
      </c>
      <c r="G645" t="str">
        <f>IFERROR(VLOOKUP(Simulated_Dept_Data[[#This Row],[ProfileID]],Table57[],2,FALSE),"NO PROFILE")</f>
        <v>Normal Families</v>
      </c>
      <c r="H645">
        <v>3112.33</v>
      </c>
      <c r="I645">
        <v>1347</v>
      </c>
    </row>
    <row r="646" spans="1:9" x14ac:dyDescent="0.25">
      <c r="A646" t="s">
        <v>14</v>
      </c>
      <c r="B646" t="str">
        <f>VLOOKUP(Simulated_Dept_Data[[#This Row],[DepartmentID]],Table578[],2,FALSE)</f>
        <v>Misc</v>
      </c>
      <c r="C646">
        <v>2022</v>
      </c>
      <c r="D646">
        <v>3</v>
      </c>
      <c r="E646" t="str">
        <f>VLOOKUP(Simulated_Dept_Data[[#This Row],[SegmentID]],Table5[],2,FALSE)</f>
        <v>Power Shoppers</v>
      </c>
      <c r="G646" t="str">
        <f>IFERROR(VLOOKUP(Simulated_Dept_Data[[#This Row],[ProfileID]],Table57[],2,FALSE),"NO PROFILE")</f>
        <v>NO PROFILE</v>
      </c>
      <c r="H646">
        <v>5591.03</v>
      </c>
      <c r="I646">
        <v>1776</v>
      </c>
    </row>
    <row r="647" spans="1:9" x14ac:dyDescent="0.25">
      <c r="A647" t="s">
        <v>14</v>
      </c>
      <c r="B647" t="str">
        <f>VLOOKUP(Simulated_Dept_Data[[#This Row],[DepartmentID]],Table578[],2,FALSE)</f>
        <v>Misc</v>
      </c>
      <c r="C647">
        <v>2022</v>
      </c>
      <c r="D647">
        <v>3</v>
      </c>
      <c r="E647" t="str">
        <f>VLOOKUP(Simulated_Dept_Data[[#This Row],[SegmentID]],Table5[],2,FALSE)</f>
        <v>Power Shoppers</v>
      </c>
      <c r="F647">
        <v>1</v>
      </c>
      <c r="G647" t="str">
        <f>IFERROR(VLOOKUP(Simulated_Dept_Data[[#This Row],[ProfileID]],Table57[],2,FALSE),"NO PROFILE")</f>
        <v>City Slickers</v>
      </c>
      <c r="H647">
        <v>26774.73</v>
      </c>
      <c r="I647">
        <v>3886</v>
      </c>
    </row>
    <row r="648" spans="1:9" x14ac:dyDescent="0.25">
      <c r="A648" t="s">
        <v>14</v>
      </c>
      <c r="B648" t="str">
        <f>VLOOKUP(Simulated_Dept_Data[[#This Row],[DepartmentID]],Table578[],2,FALSE)</f>
        <v>Misc</v>
      </c>
      <c r="C648">
        <v>2022</v>
      </c>
      <c r="D648">
        <v>3</v>
      </c>
      <c r="E648" t="str">
        <f>VLOOKUP(Simulated_Dept_Data[[#This Row],[SegmentID]],Table5[],2,FALSE)</f>
        <v>Power Shoppers</v>
      </c>
      <c r="F648">
        <v>2</v>
      </c>
      <c r="G648" t="str">
        <f>IFERROR(VLOOKUP(Simulated_Dept_Data[[#This Row],[ProfileID]],Table57[],2,FALSE),"NO PROFILE")</f>
        <v>Rich &amp; Richer</v>
      </c>
      <c r="H648">
        <v>3658.05</v>
      </c>
      <c r="I648">
        <v>1436</v>
      </c>
    </row>
    <row r="649" spans="1:9" x14ac:dyDescent="0.25">
      <c r="A649" t="s">
        <v>14</v>
      </c>
      <c r="B649" t="str">
        <f>VLOOKUP(Simulated_Dept_Data[[#This Row],[DepartmentID]],Table578[],2,FALSE)</f>
        <v>Misc</v>
      </c>
      <c r="C649">
        <v>2022</v>
      </c>
      <c r="D649">
        <v>3</v>
      </c>
      <c r="E649" t="str">
        <f>VLOOKUP(Simulated_Dept_Data[[#This Row],[SegmentID]],Table5[],2,FALSE)</f>
        <v>Power Shoppers</v>
      </c>
      <c r="F649">
        <v>3</v>
      </c>
      <c r="G649" t="str">
        <f>IFERROR(VLOOKUP(Simulated_Dept_Data[[#This Row],[ProfileID]],Table57[],2,FALSE),"NO PROFILE")</f>
        <v>Mr. &amp; Mrs. Smiths</v>
      </c>
      <c r="H649">
        <v>524.39</v>
      </c>
      <c r="I649">
        <v>544</v>
      </c>
    </row>
    <row r="650" spans="1:9" x14ac:dyDescent="0.25">
      <c r="A650" t="s">
        <v>14</v>
      </c>
      <c r="B650" t="str">
        <f>VLOOKUP(Simulated_Dept_Data[[#This Row],[DepartmentID]],Table578[],2,FALSE)</f>
        <v>Misc</v>
      </c>
      <c r="C650">
        <v>2022</v>
      </c>
      <c r="D650">
        <v>3</v>
      </c>
      <c r="E650" t="str">
        <f>VLOOKUP(Simulated_Dept_Data[[#This Row],[SegmentID]],Table5[],2,FALSE)</f>
        <v>Power Shoppers</v>
      </c>
      <c r="F650">
        <v>4</v>
      </c>
      <c r="G650" t="str">
        <f>IFERROR(VLOOKUP(Simulated_Dept_Data[[#This Row],[ProfileID]],Table57[],2,FALSE),"NO PROFILE")</f>
        <v>Blue Collar Royalty</v>
      </c>
      <c r="H650">
        <v>15747.95</v>
      </c>
      <c r="I650">
        <v>2980</v>
      </c>
    </row>
    <row r="651" spans="1:9" x14ac:dyDescent="0.25">
      <c r="A651" t="s">
        <v>14</v>
      </c>
      <c r="B651" t="str">
        <f>VLOOKUP(Simulated_Dept_Data[[#This Row],[DepartmentID]],Table578[],2,FALSE)</f>
        <v>Misc</v>
      </c>
      <c r="C651">
        <v>2022</v>
      </c>
      <c r="D651">
        <v>3</v>
      </c>
      <c r="E651" t="str">
        <f>VLOOKUP(Simulated_Dept_Data[[#This Row],[SegmentID]],Table5[],2,FALSE)</f>
        <v>Power Shoppers</v>
      </c>
      <c r="F651">
        <v>5</v>
      </c>
      <c r="G651" t="str">
        <f>IFERROR(VLOOKUP(Simulated_Dept_Data[[#This Row],[ProfileID]],Table57[],2,FALSE),"NO PROFILE")</f>
        <v>Pinched Pockets</v>
      </c>
      <c r="H651">
        <v>5681.67</v>
      </c>
      <c r="I651">
        <v>1790</v>
      </c>
    </row>
    <row r="652" spans="1:9" x14ac:dyDescent="0.25">
      <c r="A652" t="s">
        <v>14</v>
      </c>
      <c r="B652" t="str">
        <f>VLOOKUP(Simulated_Dept_Data[[#This Row],[DepartmentID]],Table578[],2,FALSE)</f>
        <v>Misc</v>
      </c>
      <c r="C652">
        <v>2022</v>
      </c>
      <c r="D652">
        <v>3</v>
      </c>
      <c r="E652" t="str">
        <f>VLOOKUP(Simulated_Dept_Data[[#This Row],[SegmentID]],Table5[],2,FALSE)</f>
        <v>Power Shoppers</v>
      </c>
      <c r="F652">
        <v>6</v>
      </c>
      <c r="G652" t="str">
        <f>IFERROR(VLOOKUP(Simulated_Dept_Data[[#This Row],[ProfileID]],Table57[],2,FALSE),"NO PROFILE")</f>
        <v>Normal Families</v>
      </c>
      <c r="H652">
        <v>164.67</v>
      </c>
      <c r="I652">
        <v>305</v>
      </c>
    </row>
    <row r="653" spans="1:9" x14ac:dyDescent="0.25">
      <c r="A653" t="s">
        <v>14</v>
      </c>
      <c r="B653" t="str">
        <f>VLOOKUP(Simulated_Dept_Data[[#This Row],[DepartmentID]],Table578[],2,FALSE)</f>
        <v>Misc</v>
      </c>
      <c r="C653">
        <v>2022</v>
      </c>
      <c r="D653">
        <v>4</v>
      </c>
      <c r="E653" t="str">
        <f>VLOOKUP(Simulated_Dept_Data[[#This Row],[SegmentID]],Table5[],2,FALSE)</f>
        <v>Infrequent Customers</v>
      </c>
      <c r="G653" t="str">
        <f>IFERROR(VLOOKUP(Simulated_Dept_Data[[#This Row],[ProfileID]],Table57[],2,FALSE),"NO PROFILE")</f>
        <v>NO PROFILE</v>
      </c>
      <c r="H653">
        <v>9799.02</v>
      </c>
      <c r="I653">
        <v>2354</v>
      </c>
    </row>
    <row r="654" spans="1:9" x14ac:dyDescent="0.25">
      <c r="A654" t="s">
        <v>14</v>
      </c>
      <c r="B654" t="str">
        <f>VLOOKUP(Simulated_Dept_Data[[#This Row],[DepartmentID]],Table578[],2,FALSE)</f>
        <v>Misc</v>
      </c>
      <c r="C654">
        <v>2022</v>
      </c>
      <c r="D654">
        <v>4</v>
      </c>
      <c r="E654" t="str">
        <f>VLOOKUP(Simulated_Dept_Data[[#This Row],[SegmentID]],Table5[],2,FALSE)</f>
        <v>Infrequent Customers</v>
      </c>
      <c r="F654">
        <v>1</v>
      </c>
      <c r="G654" t="str">
        <f>IFERROR(VLOOKUP(Simulated_Dept_Data[[#This Row],[ProfileID]],Table57[],2,FALSE),"NO PROFILE")</f>
        <v>City Slickers</v>
      </c>
      <c r="H654">
        <v>39415.32</v>
      </c>
      <c r="I654">
        <v>4722</v>
      </c>
    </row>
    <row r="655" spans="1:9" x14ac:dyDescent="0.25">
      <c r="A655" t="s">
        <v>14</v>
      </c>
      <c r="B655" t="str">
        <f>VLOOKUP(Simulated_Dept_Data[[#This Row],[DepartmentID]],Table578[],2,FALSE)</f>
        <v>Misc</v>
      </c>
      <c r="C655">
        <v>2022</v>
      </c>
      <c r="D655">
        <v>4</v>
      </c>
      <c r="E655" t="str">
        <f>VLOOKUP(Simulated_Dept_Data[[#This Row],[SegmentID]],Table5[],2,FALSE)</f>
        <v>Infrequent Customers</v>
      </c>
      <c r="F655">
        <v>2</v>
      </c>
      <c r="G655" t="str">
        <f>IFERROR(VLOOKUP(Simulated_Dept_Data[[#This Row],[ProfileID]],Table57[],2,FALSE),"NO PROFILE")</f>
        <v>Rich &amp; Richer</v>
      </c>
      <c r="H655">
        <v>919.41</v>
      </c>
      <c r="I655">
        <v>721</v>
      </c>
    </row>
    <row r="656" spans="1:9" x14ac:dyDescent="0.25">
      <c r="A656" t="s">
        <v>14</v>
      </c>
      <c r="B656" t="str">
        <f>VLOOKUP(Simulated_Dept_Data[[#This Row],[DepartmentID]],Table578[],2,FALSE)</f>
        <v>Misc</v>
      </c>
      <c r="C656">
        <v>2022</v>
      </c>
      <c r="D656">
        <v>4</v>
      </c>
      <c r="E656" t="str">
        <f>VLOOKUP(Simulated_Dept_Data[[#This Row],[SegmentID]],Table5[],2,FALSE)</f>
        <v>Infrequent Customers</v>
      </c>
      <c r="F656">
        <v>3</v>
      </c>
      <c r="G656" t="str">
        <f>IFERROR(VLOOKUP(Simulated_Dept_Data[[#This Row],[ProfileID]],Table57[],2,FALSE),"NO PROFILE")</f>
        <v>Mr. &amp; Mrs. Smiths</v>
      </c>
      <c r="H656">
        <v>7773.99</v>
      </c>
      <c r="I656">
        <v>2097</v>
      </c>
    </row>
    <row r="657" spans="1:9" x14ac:dyDescent="0.25">
      <c r="A657" t="s">
        <v>14</v>
      </c>
      <c r="B657" t="str">
        <f>VLOOKUP(Simulated_Dept_Data[[#This Row],[DepartmentID]],Table578[],2,FALSE)</f>
        <v>Misc</v>
      </c>
      <c r="C657">
        <v>2022</v>
      </c>
      <c r="D657">
        <v>4</v>
      </c>
      <c r="E657" t="str">
        <f>VLOOKUP(Simulated_Dept_Data[[#This Row],[SegmentID]],Table5[],2,FALSE)</f>
        <v>Infrequent Customers</v>
      </c>
      <c r="F657">
        <v>4</v>
      </c>
      <c r="G657" t="str">
        <f>IFERROR(VLOOKUP(Simulated_Dept_Data[[#This Row],[ProfileID]],Table57[],2,FALSE),"NO PROFILE")</f>
        <v>Blue Collar Royalty</v>
      </c>
      <c r="H657">
        <v>36752.839999999997</v>
      </c>
      <c r="I657">
        <v>4559</v>
      </c>
    </row>
    <row r="658" spans="1:9" x14ac:dyDescent="0.25">
      <c r="A658" t="s">
        <v>14</v>
      </c>
      <c r="B658" t="str">
        <f>VLOOKUP(Simulated_Dept_Data[[#This Row],[DepartmentID]],Table578[],2,FALSE)</f>
        <v>Misc</v>
      </c>
      <c r="C658">
        <v>2022</v>
      </c>
      <c r="D658">
        <v>4</v>
      </c>
      <c r="E658" t="str">
        <f>VLOOKUP(Simulated_Dept_Data[[#This Row],[SegmentID]],Table5[],2,FALSE)</f>
        <v>Infrequent Customers</v>
      </c>
      <c r="F658">
        <v>5</v>
      </c>
      <c r="G658" t="str">
        <f>IFERROR(VLOOKUP(Simulated_Dept_Data[[#This Row],[ProfileID]],Table57[],2,FALSE),"NO PROFILE")</f>
        <v>Pinched Pockets</v>
      </c>
      <c r="H658">
        <v>78.239999999999995</v>
      </c>
      <c r="I658">
        <v>210</v>
      </c>
    </row>
    <row r="659" spans="1:9" x14ac:dyDescent="0.25">
      <c r="A659" t="s">
        <v>14</v>
      </c>
      <c r="B659" t="str">
        <f>VLOOKUP(Simulated_Dept_Data[[#This Row],[DepartmentID]],Table578[],2,FALSE)</f>
        <v>Misc</v>
      </c>
      <c r="C659">
        <v>2022</v>
      </c>
      <c r="D659">
        <v>4</v>
      </c>
      <c r="E659" t="str">
        <f>VLOOKUP(Simulated_Dept_Data[[#This Row],[SegmentID]],Table5[],2,FALSE)</f>
        <v>Infrequent Customers</v>
      </c>
      <c r="F659">
        <v>6</v>
      </c>
      <c r="G659" t="str">
        <f>IFERROR(VLOOKUP(Simulated_Dept_Data[[#This Row],[ProfileID]],Table57[],2,FALSE),"NO PROFILE")</f>
        <v>Normal Families</v>
      </c>
      <c r="H659">
        <v>3951.57</v>
      </c>
      <c r="I659">
        <v>1495</v>
      </c>
    </row>
    <row r="660" spans="1:9" x14ac:dyDescent="0.25">
      <c r="A660" t="s">
        <v>14</v>
      </c>
      <c r="B660" t="str">
        <f>VLOOKUP(Simulated_Dept_Data[[#This Row],[DepartmentID]],Table578[],2,FALSE)</f>
        <v>Misc</v>
      </c>
      <c r="C660">
        <v>2022</v>
      </c>
      <c r="D660">
        <v>5</v>
      </c>
      <c r="E660" t="str">
        <f>VLOOKUP(Simulated_Dept_Data[[#This Row],[SegmentID]],Table5[],2,FALSE)</f>
        <v>New Customers</v>
      </c>
      <c r="G660" t="str">
        <f>IFERROR(VLOOKUP(Simulated_Dept_Data[[#This Row],[ProfileID]],Table57[],2,FALSE),"NO PROFILE")</f>
        <v>NO PROFILE</v>
      </c>
      <c r="H660">
        <v>29709.439999999999</v>
      </c>
      <c r="I660">
        <v>3997</v>
      </c>
    </row>
    <row r="661" spans="1:9" x14ac:dyDescent="0.25">
      <c r="A661" t="s">
        <v>14</v>
      </c>
      <c r="B661" t="str">
        <f>VLOOKUP(Simulated_Dept_Data[[#This Row],[DepartmentID]],Table578[],2,FALSE)</f>
        <v>Misc</v>
      </c>
      <c r="C661">
        <v>2022</v>
      </c>
      <c r="D661">
        <v>5</v>
      </c>
      <c r="E661" t="str">
        <f>VLOOKUP(Simulated_Dept_Data[[#This Row],[SegmentID]],Table5[],2,FALSE)</f>
        <v>New Customers</v>
      </c>
      <c r="F661">
        <v>1</v>
      </c>
      <c r="G661" t="str">
        <f>IFERROR(VLOOKUP(Simulated_Dept_Data[[#This Row],[ProfileID]],Table57[],2,FALSE),"NO PROFILE")</f>
        <v>City Slickers</v>
      </c>
      <c r="H661">
        <v>10018.540000000001</v>
      </c>
      <c r="I661">
        <v>2321</v>
      </c>
    </row>
    <row r="662" spans="1:9" x14ac:dyDescent="0.25">
      <c r="A662" t="s">
        <v>14</v>
      </c>
      <c r="B662" t="str">
        <f>VLOOKUP(Simulated_Dept_Data[[#This Row],[DepartmentID]],Table578[],2,FALSE)</f>
        <v>Misc</v>
      </c>
      <c r="C662">
        <v>2022</v>
      </c>
      <c r="D662">
        <v>5</v>
      </c>
      <c r="E662" t="str">
        <f>VLOOKUP(Simulated_Dept_Data[[#This Row],[SegmentID]],Table5[],2,FALSE)</f>
        <v>New Customers</v>
      </c>
      <c r="F662">
        <v>2</v>
      </c>
      <c r="G662" t="str">
        <f>IFERROR(VLOOKUP(Simulated_Dept_Data[[#This Row],[ProfileID]],Table57[],2,FALSE),"NO PROFILE")</f>
        <v>Rich &amp; Richer</v>
      </c>
      <c r="H662">
        <v>21532.69</v>
      </c>
      <c r="I662">
        <v>3403</v>
      </c>
    </row>
    <row r="663" spans="1:9" x14ac:dyDescent="0.25">
      <c r="A663" t="s">
        <v>14</v>
      </c>
      <c r="B663" t="str">
        <f>VLOOKUP(Simulated_Dept_Data[[#This Row],[DepartmentID]],Table578[],2,FALSE)</f>
        <v>Misc</v>
      </c>
      <c r="C663">
        <v>2022</v>
      </c>
      <c r="D663">
        <v>5</v>
      </c>
      <c r="E663" t="str">
        <f>VLOOKUP(Simulated_Dept_Data[[#This Row],[SegmentID]],Table5[],2,FALSE)</f>
        <v>New Customers</v>
      </c>
      <c r="F663">
        <v>3</v>
      </c>
      <c r="G663" t="str">
        <f>IFERROR(VLOOKUP(Simulated_Dept_Data[[#This Row],[ProfileID]],Table57[],2,FALSE),"NO PROFILE")</f>
        <v>Mr. &amp; Mrs. Smiths</v>
      </c>
      <c r="H663">
        <v>32939.57</v>
      </c>
      <c r="I663">
        <v>4209</v>
      </c>
    </row>
    <row r="664" spans="1:9" x14ac:dyDescent="0.25">
      <c r="A664" t="s">
        <v>14</v>
      </c>
      <c r="B664" t="str">
        <f>VLOOKUP(Simulated_Dept_Data[[#This Row],[DepartmentID]],Table578[],2,FALSE)</f>
        <v>Misc</v>
      </c>
      <c r="C664">
        <v>2022</v>
      </c>
      <c r="D664">
        <v>5</v>
      </c>
      <c r="E664" t="str">
        <f>VLOOKUP(Simulated_Dept_Data[[#This Row],[SegmentID]],Table5[],2,FALSE)</f>
        <v>New Customers</v>
      </c>
      <c r="F664">
        <v>4</v>
      </c>
      <c r="G664" t="str">
        <f>IFERROR(VLOOKUP(Simulated_Dept_Data[[#This Row],[ProfileID]],Table57[],2,FALSE),"NO PROFILE")</f>
        <v>Blue Collar Royalty</v>
      </c>
      <c r="H664">
        <v>41.06</v>
      </c>
      <c r="I664">
        <v>149</v>
      </c>
    </row>
    <row r="665" spans="1:9" x14ac:dyDescent="0.25">
      <c r="A665" t="s">
        <v>14</v>
      </c>
      <c r="B665" t="str">
        <f>VLOOKUP(Simulated_Dept_Data[[#This Row],[DepartmentID]],Table578[],2,FALSE)</f>
        <v>Misc</v>
      </c>
      <c r="C665">
        <v>2022</v>
      </c>
      <c r="D665">
        <v>5</v>
      </c>
      <c r="E665" t="str">
        <f>VLOOKUP(Simulated_Dept_Data[[#This Row],[SegmentID]],Table5[],2,FALSE)</f>
        <v>New Customers</v>
      </c>
      <c r="F665">
        <v>5</v>
      </c>
      <c r="G665" t="str">
        <f>IFERROR(VLOOKUP(Simulated_Dept_Data[[#This Row],[ProfileID]],Table57[],2,FALSE),"NO PROFILE")</f>
        <v>Pinched Pockets</v>
      </c>
      <c r="H665">
        <v>50.07</v>
      </c>
      <c r="I665">
        <v>164</v>
      </c>
    </row>
    <row r="666" spans="1:9" x14ac:dyDescent="0.25">
      <c r="A666" t="s">
        <v>14</v>
      </c>
      <c r="B666" t="str">
        <f>VLOOKUP(Simulated_Dept_Data[[#This Row],[DepartmentID]],Table578[],2,FALSE)</f>
        <v>Misc</v>
      </c>
      <c r="C666">
        <v>2022</v>
      </c>
      <c r="D666">
        <v>5</v>
      </c>
      <c r="E666" t="str">
        <f>VLOOKUP(Simulated_Dept_Data[[#This Row],[SegmentID]],Table5[],2,FALSE)</f>
        <v>New Customers</v>
      </c>
      <c r="F666">
        <v>6</v>
      </c>
      <c r="G666" t="str">
        <f>IFERROR(VLOOKUP(Simulated_Dept_Data[[#This Row],[ProfileID]],Table57[],2,FALSE),"NO PROFILE")</f>
        <v>Normal Families</v>
      </c>
      <c r="H666">
        <v>250.1</v>
      </c>
      <c r="I666">
        <v>367</v>
      </c>
    </row>
    <row r="667" spans="1:9" x14ac:dyDescent="0.25">
      <c r="A667" t="s">
        <v>14</v>
      </c>
      <c r="B667" t="str">
        <f>VLOOKUP(Simulated_Dept_Data[[#This Row],[DepartmentID]],Table578[],2,FALSE)</f>
        <v>Misc</v>
      </c>
      <c r="C667">
        <v>2023</v>
      </c>
      <c r="D667">
        <v>1</v>
      </c>
      <c r="E667" t="str">
        <f>VLOOKUP(Simulated_Dept_Data[[#This Row],[SegmentID]],Table5[],2,FALSE)</f>
        <v>Elite Customers</v>
      </c>
      <c r="G667" t="str">
        <f>IFERROR(VLOOKUP(Simulated_Dept_Data[[#This Row],[ProfileID]],Table57[],2,FALSE),"NO PROFILE")</f>
        <v>NO PROFILE</v>
      </c>
      <c r="H667">
        <v>5934.17</v>
      </c>
      <c r="I667">
        <v>1670</v>
      </c>
    </row>
    <row r="668" spans="1:9" x14ac:dyDescent="0.25">
      <c r="A668" t="s">
        <v>14</v>
      </c>
      <c r="B668" t="str">
        <f>VLOOKUP(Simulated_Dept_Data[[#This Row],[DepartmentID]],Table578[],2,FALSE)</f>
        <v>Misc</v>
      </c>
      <c r="C668">
        <v>2023</v>
      </c>
      <c r="D668">
        <v>1</v>
      </c>
      <c r="E668" t="str">
        <f>VLOOKUP(Simulated_Dept_Data[[#This Row],[SegmentID]],Table5[],2,FALSE)</f>
        <v>Elite Customers</v>
      </c>
      <c r="F668">
        <v>1</v>
      </c>
      <c r="G668" t="str">
        <f>IFERROR(VLOOKUP(Simulated_Dept_Data[[#This Row],[ProfileID]],Table57[],2,FALSE),"NO PROFILE")</f>
        <v>City Slickers</v>
      </c>
      <c r="H668">
        <v>18700.2</v>
      </c>
      <c r="I668">
        <v>2964</v>
      </c>
    </row>
    <row r="669" spans="1:9" x14ac:dyDescent="0.25">
      <c r="A669" t="s">
        <v>14</v>
      </c>
      <c r="B669" t="str">
        <f>VLOOKUP(Simulated_Dept_Data[[#This Row],[DepartmentID]],Table578[],2,FALSE)</f>
        <v>Misc</v>
      </c>
      <c r="C669">
        <v>2023</v>
      </c>
      <c r="D669">
        <v>1</v>
      </c>
      <c r="E669" t="str">
        <f>VLOOKUP(Simulated_Dept_Data[[#This Row],[SegmentID]],Table5[],2,FALSE)</f>
        <v>Elite Customers</v>
      </c>
      <c r="F669">
        <v>2</v>
      </c>
      <c r="G669" t="str">
        <f>IFERROR(VLOOKUP(Simulated_Dept_Data[[#This Row],[ProfileID]],Table57[],2,FALSE),"NO PROFILE")</f>
        <v>Rich &amp; Richer</v>
      </c>
      <c r="H669">
        <v>21267.3</v>
      </c>
      <c r="I669">
        <v>3161</v>
      </c>
    </row>
    <row r="670" spans="1:9" x14ac:dyDescent="0.25">
      <c r="A670" t="s">
        <v>14</v>
      </c>
      <c r="B670" t="str">
        <f>VLOOKUP(Simulated_Dept_Data[[#This Row],[DepartmentID]],Table578[],2,FALSE)</f>
        <v>Misc</v>
      </c>
      <c r="C670">
        <v>2023</v>
      </c>
      <c r="D670">
        <v>1</v>
      </c>
      <c r="E670" t="str">
        <f>VLOOKUP(Simulated_Dept_Data[[#This Row],[SegmentID]],Table5[],2,FALSE)</f>
        <v>Elite Customers</v>
      </c>
      <c r="F670">
        <v>3</v>
      </c>
      <c r="G670" t="str">
        <f>IFERROR(VLOOKUP(Simulated_Dept_Data[[#This Row],[ProfileID]],Table57[],2,FALSE),"NO PROFILE")</f>
        <v>Mr. &amp; Mrs. Smiths</v>
      </c>
      <c r="H670">
        <v>21752.99</v>
      </c>
      <c r="I670">
        <v>3197</v>
      </c>
    </row>
    <row r="671" spans="1:9" x14ac:dyDescent="0.25">
      <c r="A671" t="s">
        <v>14</v>
      </c>
      <c r="B671" t="str">
        <f>VLOOKUP(Simulated_Dept_Data[[#This Row],[DepartmentID]],Table578[],2,FALSE)</f>
        <v>Misc</v>
      </c>
      <c r="C671">
        <v>2023</v>
      </c>
      <c r="D671">
        <v>1</v>
      </c>
      <c r="E671" t="str">
        <f>VLOOKUP(Simulated_Dept_Data[[#This Row],[SegmentID]],Table5[],2,FALSE)</f>
        <v>Elite Customers</v>
      </c>
      <c r="F671">
        <v>4</v>
      </c>
      <c r="G671" t="str">
        <f>IFERROR(VLOOKUP(Simulated_Dept_Data[[#This Row],[ProfileID]],Table57[],2,FALSE),"NO PROFILE")</f>
        <v>Blue Collar Royalty</v>
      </c>
      <c r="H671">
        <v>5952.13</v>
      </c>
      <c r="I671">
        <v>1672</v>
      </c>
    </row>
    <row r="672" spans="1:9" x14ac:dyDescent="0.25">
      <c r="A672" t="s">
        <v>14</v>
      </c>
      <c r="B672" t="str">
        <f>VLOOKUP(Simulated_Dept_Data[[#This Row],[DepartmentID]],Table578[],2,FALSE)</f>
        <v>Misc</v>
      </c>
      <c r="C672">
        <v>2023</v>
      </c>
      <c r="D672">
        <v>1</v>
      </c>
      <c r="E672" t="str">
        <f>VLOOKUP(Simulated_Dept_Data[[#This Row],[SegmentID]],Table5[],2,FALSE)</f>
        <v>Elite Customers</v>
      </c>
      <c r="F672">
        <v>5</v>
      </c>
      <c r="G672" t="str">
        <f>IFERROR(VLOOKUP(Simulated_Dept_Data[[#This Row],[ProfileID]],Table57[],2,FALSE),"NO PROFILE")</f>
        <v>Pinched Pockets</v>
      </c>
      <c r="H672">
        <v>28822.55</v>
      </c>
      <c r="I672">
        <v>3680</v>
      </c>
    </row>
    <row r="673" spans="1:9" x14ac:dyDescent="0.25">
      <c r="A673" t="s">
        <v>14</v>
      </c>
      <c r="B673" t="str">
        <f>VLOOKUP(Simulated_Dept_Data[[#This Row],[DepartmentID]],Table578[],2,FALSE)</f>
        <v>Misc</v>
      </c>
      <c r="C673">
        <v>2023</v>
      </c>
      <c r="D673">
        <v>1</v>
      </c>
      <c r="E673" t="str">
        <f>VLOOKUP(Simulated_Dept_Data[[#This Row],[SegmentID]],Table5[],2,FALSE)</f>
        <v>Elite Customers</v>
      </c>
      <c r="F673">
        <v>6</v>
      </c>
      <c r="G673" t="str">
        <f>IFERROR(VLOOKUP(Simulated_Dept_Data[[#This Row],[ProfileID]],Table57[],2,FALSE),"NO PROFILE")</f>
        <v>Normal Families</v>
      </c>
      <c r="H673">
        <v>4528.3500000000004</v>
      </c>
      <c r="I673">
        <v>1459</v>
      </c>
    </row>
    <row r="674" spans="1:9" x14ac:dyDescent="0.25">
      <c r="A674" t="s">
        <v>14</v>
      </c>
      <c r="B674" t="str">
        <f>VLOOKUP(Simulated_Dept_Data[[#This Row],[DepartmentID]],Table578[],2,FALSE)</f>
        <v>Misc</v>
      </c>
      <c r="C674">
        <v>2023</v>
      </c>
      <c r="D674">
        <v>2</v>
      </c>
      <c r="E674" t="str">
        <f>VLOOKUP(Simulated_Dept_Data[[#This Row],[SegmentID]],Table5[],2,FALSE)</f>
        <v>Core Customers</v>
      </c>
      <c r="G674" t="str">
        <f>IFERROR(VLOOKUP(Simulated_Dept_Data[[#This Row],[ProfileID]],Table57[],2,FALSE),"NO PROFILE")</f>
        <v>NO PROFILE</v>
      </c>
      <c r="H674">
        <v>22293.27</v>
      </c>
      <c r="I674">
        <v>3661</v>
      </c>
    </row>
    <row r="675" spans="1:9" x14ac:dyDescent="0.25">
      <c r="A675" t="s">
        <v>14</v>
      </c>
      <c r="B675" t="str">
        <f>VLOOKUP(Simulated_Dept_Data[[#This Row],[DepartmentID]],Table578[],2,FALSE)</f>
        <v>Misc</v>
      </c>
      <c r="C675">
        <v>2023</v>
      </c>
      <c r="D675">
        <v>2</v>
      </c>
      <c r="E675" t="str">
        <f>VLOOKUP(Simulated_Dept_Data[[#This Row],[SegmentID]],Table5[],2,FALSE)</f>
        <v>Core Customers</v>
      </c>
      <c r="F675">
        <v>1</v>
      </c>
      <c r="G675" t="str">
        <f>IFERROR(VLOOKUP(Simulated_Dept_Data[[#This Row],[ProfileID]],Table57[],2,FALSE),"NO PROFILE")</f>
        <v>City Slickers</v>
      </c>
      <c r="H675">
        <v>5333.39</v>
      </c>
      <c r="I675">
        <v>1791</v>
      </c>
    </row>
    <row r="676" spans="1:9" x14ac:dyDescent="0.25">
      <c r="A676" t="s">
        <v>14</v>
      </c>
      <c r="B676" t="str">
        <f>VLOOKUP(Simulated_Dept_Data[[#This Row],[DepartmentID]],Table578[],2,FALSE)</f>
        <v>Misc</v>
      </c>
      <c r="C676">
        <v>2023</v>
      </c>
      <c r="D676">
        <v>2</v>
      </c>
      <c r="E676" t="str">
        <f>VLOOKUP(Simulated_Dept_Data[[#This Row],[SegmentID]],Table5[],2,FALSE)</f>
        <v>Core Customers</v>
      </c>
      <c r="F676">
        <v>2</v>
      </c>
      <c r="G676" t="str">
        <f>IFERROR(VLOOKUP(Simulated_Dept_Data[[#This Row],[ProfileID]],Table57[],2,FALSE),"NO PROFILE")</f>
        <v>Rich &amp; Richer</v>
      </c>
      <c r="H676">
        <v>8526.93</v>
      </c>
      <c r="I676">
        <v>2264</v>
      </c>
    </row>
    <row r="677" spans="1:9" x14ac:dyDescent="0.25">
      <c r="A677" t="s">
        <v>14</v>
      </c>
      <c r="B677" t="str">
        <f>VLOOKUP(Simulated_Dept_Data[[#This Row],[DepartmentID]],Table578[],2,FALSE)</f>
        <v>Misc</v>
      </c>
      <c r="C677">
        <v>2023</v>
      </c>
      <c r="D677">
        <v>2</v>
      </c>
      <c r="E677" t="str">
        <f>VLOOKUP(Simulated_Dept_Data[[#This Row],[SegmentID]],Table5[],2,FALSE)</f>
        <v>Core Customers</v>
      </c>
      <c r="F677">
        <v>3</v>
      </c>
      <c r="G677" t="str">
        <f>IFERROR(VLOOKUP(Simulated_Dept_Data[[#This Row],[ProfileID]],Table57[],2,FALSE),"NO PROFILE")</f>
        <v>Mr. &amp; Mrs. Smiths</v>
      </c>
      <c r="H677">
        <v>18662.46</v>
      </c>
      <c r="I677">
        <v>3350</v>
      </c>
    </row>
    <row r="678" spans="1:9" x14ac:dyDescent="0.25">
      <c r="A678" t="s">
        <v>14</v>
      </c>
      <c r="B678" t="str">
        <f>VLOOKUP(Simulated_Dept_Data[[#This Row],[DepartmentID]],Table578[],2,FALSE)</f>
        <v>Misc</v>
      </c>
      <c r="C678">
        <v>2023</v>
      </c>
      <c r="D678">
        <v>2</v>
      </c>
      <c r="E678" t="str">
        <f>VLOOKUP(Simulated_Dept_Data[[#This Row],[SegmentID]],Table5[],2,FALSE)</f>
        <v>Core Customers</v>
      </c>
      <c r="F678">
        <v>4</v>
      </c>
      <c r="G678" t="str">
        <f>IFERROR(VLOOKUP(Simulated_Dept_Data[[#This Row],[ProfileID]],Table57[],2,FALSE),"NO PROFILE")</f>
        <v>Blue Collar Royalty</v>
      </c>
      <c r="H678">
        <v>13.13</v>
      </c>
      <c r="I678">
        <v>89</v>
      </c>
    </row>
    <row r="679" spans="1:9" x14ac:dyDescent="0.25">
      <c r="A679" t="s">
        <v>14</v>
      </c>
      <c r="B679" t="str">
        <f>VLOOKUP(Simulated_Dept_Data[[#This Row],[DepartmentID]],Table578[],2,FALSE)</f>
        <v>Misc</v>
      </c>
      <c r="C679">
        <v>2023</v>
      </c>
      <c r="D679">
        <v>2</v>
      </c>
      <c r="E679" t="str">
        <f>VLOOKUP(Simulated_Dept_Data[[#This Row],[SegmentID]],Table5[],2,FALSE)</f>
        <v>Core Customers</v>
      </c>
      <c r="F679">
        <v>5</v>
      </c>
      <c r="G679" t="str">
        <f>IFERROR(VLOOKUP(Simulated_Dept_Data[[#This Row],[ProfileID]],Table57[],2,FALSE),"NO PROFILE")</f>
        <v>Pinched Pockets</v>
      </c>
      <c r="H679">
        <v>3876.66</v>
      </c>
      <c r="I679">
        <v>1527</v>
      </c>
    </row>
    <row r="680" spans="1:9" x14ac:dyDescent="0.25">
      <c r="A680" t="s">
        <v>14</v>
      </c>
      <c r="B680" t="str">
        <f>VLOOKUP(Simulated_Dept_Data[[#This Row],[DepartmentID]],Table578[],2,FALSE)</f>
        <v>Misc</v>
      </c>
      <c r="C680">
        <v>2023</v>
      </c>
      <c r="D680">
        <v>2</v>
      </c>
      <c r="E680" t="str">
        <f>VLOOKUP(Simulated_Dept_Data[[#This Row],[SegmentID]],Table5[],2,FALSE)</f>
        <v>Core Customers</v>
      </c>
      <c r="F680">
        <v>6</v>
      </c>
      <c r="G680" t="str">
        <f>IFERROR(VLOOKUP(Simulated_Dept_Data[[#This Row],[ProfileID]],Table57[],2,FALSE),"NO PROFILE")</f>
        <v>Normal Families</v>
      </c>
      <c r="H680">
        <v>2333.27</v>
      </c>
      <c r="I680">
        <v>1185</v>
      </c>
    </row>
    <row r="681" spans="1:9" x14ac:dyDescent="0.25">
      <c r="A681" t="s">
        <v>14</v>
      </c>
      <c r="B681" t="str">
        <f>VLOOKUP(Simulated_Dept_Data[[#This Row],[DepartmentID]],Table578[],2,FALSE)</f>
        <v>Misc</v>
      </c>
      <c r="C681">
        <v>2023</v>
      </c>
      <c r="D681">
        <v>3</v>
      </c>
      <c r="E681" t="str">
        <f>VLOOKUP(Simulated_Dept_Data[[#This Row],[SegmentID]],Table5[],2,FALSE)</f>
        <v>Power Shoppers</v>
      </c>
      <c r="G681" t="str">
        <f>IFERROR(VLOOKUP(Simulated_Dept_Data[[#This Row],[ProfileID]],Table57[],2,FALSE),"NO PROFILE")</f>
        <v>NO PROFILE</v>
      </c>
      <c r="H681">
        <v>4360.9799999999996</v>
      </c>
      <c r="I681">
        <v>1618</v>
      </c>
    </row>
    <row r="682" spans="1:9" x14ac:dyDescent="0.25">
      <c r="A682" t="s">
        <v>14</v>
      </c>
      <c r="B682" t="str">
        <f>VLOOKUP(Simulated_Dept_Data[[#This Row],[DepartmentID]],Table578[],2,FALSE)</f>
        <v>Misc</v>
      </c>
      <c r="C682">
        <v>2023</v>
      </c>
      <c r="D682">
        <v>3</v>
      </c>
      <c r="E682" t="str">
        <f>VLOOKUP(Simulated_Dept_Data[[#This Row],[SegmentID]],Table5[],2,FALSE)</f>
        <v>Power Shoppers</v>
      </c>
      <c r="F682">
        <v>1</v>
      </c>
      <c r="G682" t="str">
        <f>IFERROR(VLOOKUP(Simulated_Dept_Data[[#This Row],[ProfileID]],Table57[],2,FALSE),"NO PROFILE")</f>
        <v>City Slickers</v>
      </c>
      <c r="H682">
        <v>20884.2</v>
      </c>
      <c r="I682">
        <v>3541</v>
      </c>
    </row>
    <row r="683" spans="1:9" x14ac:dyDescent="0.25">
      <c r="A683" t="s">
        <v>14</v>
      </c>
      <c r="B683" t="str">
        <f>VLOOKUP(Simulated_Dept_Data[[#This Row],[DepartmentID]],Table578[],2,FALSE)</f>
        <v>Misc</v>
      </c>
      <c r="C683">
        <v>2023</v>
      </c>
      <c r="D683">
        <v>3</v>
      </c>
      <c r="E683" t="str">
        <f>VLOOKUP(Simulated_Dept_Data[[#This Row],[SegmentID]],Table5[],2,FALSE)</f>
        <v>Power Shoppers</v>
      </c>
      <c r="F683">
        <v>2</v>
      </c>
      <c r="G683" t="str">
        <f>IFERROR(VLOOKUP(Simulated_Dept_Data[[#This Row],[ProfileID]],Table57[],2,FALSE),"NO PROFILE")</f>
        <v>Rich &amp; Richer</v>
      </c>
      <c r="H683">
        <v>2853.27</v>
      </c>
      <c r="I683">
        <v>1309</v>
      </c>
    </row>
    <row r="684" spans="1:9" x14ac:dyDescent="0.25">
      <c r="A684" t="s">
        <v>14</v>
      </c>
      <c r="B684" t="str">
        <f>VLOOKUP(Simulated_Dept_Data[[#This Row],[DepartmentID]],Table578[],2,FALSE)</f>
        <v>Misc</v>
      </c>
      <c r="C684">
        <v>2023</v>
      </c>
      <c r="D684">
        <v>3</v>
      </c>
      <c r="E684" t="str">
        <f>VLOOKUP(Simulated_Dept_Data[[#This Row],[SegmentID]],Table5[],2,FALSE)</f>
        <v>Power Shoppers</v>
      </c>
      <c r="F684">
        <v>3</v>
      </c>
      <c r="G684" t="str">
        <f>IFERROR(VLOOKUP(Simulated_Dept_Data[[#This Row],[ProfileID]],Table57[],2,FALSE),"NO PROFILE")</f>
        <v>Mr. &amp; Mrs. Smiths</v>
      </c>
      <c r="H684">
        <v>409.02</v>
      </c>
      <c r="I684">
        <v>496</v>
      </c>
    </row>
    <row r="685" spans="1:9" x14ac:dyDescent="0.25">
      <c r="A685" t="s">
        <v>14</v>
      </c>
      <c r="B685" t="str">
        <f>VLOOKUP(Simulated_Dept_Data[[#This Row],[DepartmentID]],Table578[],2,FALSE)</f>
        <v>Misc</v>
      </c>
      <c r="C685">
        <v>2023</v>
      </c>
      <c r="D685">
        <v>3</v>
      </c>
      <c r="E685" t="str">
        <f>VLOOKUP(Simulated_Dept_Data[[#This Row],[SegmentID]],Table5[],2,FALSE)</f>
        <v>Power Shoppers</v>
      </c>
      <c r="F685">
        <v>4</v>
      </c>
      <c r="G685" t="str">
        <f>IFERROR(VLOOKUP(Simulated_Dept_Data[[#This Row],[ProfileID]],Table57[],2,FALSE),"NO PROFILE")</f>
        <v>Blue Collar Royalty</v>
      </c>
      <c r="H685">
        <v>12283.35</v>
      </c>
      <c r="I685">
        <v>2715</v>
      </c>
    </row>
    <row r="686" spans="1:9" x14ac:dyDescent="0.25">
      <c r="A686" t="s">
        <v>14</v>
      </c>
      <c r="B686" t="str">
        <f>VLOOKUP(Simulated_Dept_Data[[#This Row],[DepartmentID]],Table578[],2,FALSE)</f>
        <v>Misc</v>
      </c>
      <c r="C686">
        <v>2023</v>
      </c>
      <c r="D686">
        <v>3</v>
      </c>
      <c r="E686" t="str">
        <f>VLOOKUP(Simulated_Dept_Data[[#This Row],[SegmentID]],Table5[],2,FALSE)</f>
        <v>Power Shoppers</v>
      </c>
      <c r="F686">
        <v>5</v>
      </c>
      <c r="G686" t="str">
        <f>IFERROR(VLOOKUP(Simulated_Dept_Data[[#This Row],[ProfileID]],Table57[],2,FALSE),"NO PROFILE")</f>
        <v>Pinched Pockets</v>
      </c>
      <c r="H686">
        <v>4431.6899999999996</v>
      </c>
      <c r="I686">
        <v>1631</v>
      </c>
    </row>
    <row r="687" spans="1:9" x14ac:dyDescent="0.25">
      <c r="A687" t="s">
        <v>14</v>
      </c>
      <c r="B687" t="str">
        <f>VLOOKUP(Simulated_Dept_Data[[#This Row],[DepartmentID]],Table578[],2,FALSE)</f>
        <v>Misc</v>
      </c>
      <c r="C687">
        <v>2023</v>
      </c>
      <c r="D687">
        <v>3</v>
      </c>
      <c r="E687" t="str">
        <f>VLOOKUP(Simulated_Dept_Data[[#This Row],[SegmentID]],Table5[],2,FALSE)</f>
        <v>Power Shoppers</v>
      </c>
      <c r="F687">
        <v>6</v>
      </c>
      <c r="G687" t="str">
        <f>IFERROR(VLOOKUP(Simulated_Dept_Data[[#This Row],[ProfileID]],Table57[],2,FALSE),"NO PROFILE")</f>
        <v>Normal Families</v>
      </c>
      <c r="H687">
        <v>128.44</v>
      </c>
      <c r="I687">
        <v>278</v>
      </c>
    </row>
    <row r="688" spans="1:9" x14ac:dyDescent="0.25">
      <c r="A688" t="s">
        <v>14</v>
      </c>
      <c r="B688" t="str">
        <f>VLOOKUP(Simulated_Dept_Data[[#This Row],[DepartmentID]],Table578[],2,FALSE)</f>
        <v>Misc</v>
      </c>
      <c r="C688">
        <v>2023</v>
      </c>
      <c r="D688">
        <v>4</v>
      </c>
      <c r="E688" t="str">
        <f>VLOOKUP(Simulated_Dept_Data[[#This Row],[SegmentID]],Table5[],2,FALSE)</f>
        <v>Infrequent Customers</v>
      </c>
      <c r="G688" t="str">
        <f>IFERROR(VLOOKUP(Simulated_Dept_Data[[#This Row],[ProfileID]],Table57[],2,FALSE),"NO PROFILE")</f>
        <v>NO PROFILE</v>
      </c>
      <c r="H688">
        <v>8050.79</v>
      </c>
      <c r="I688">
        <v>2109</v>
      </c>
    </row>
    <row r="689" spans="1:9" x14ac:dyDescent="0.25">
      <c r="A689" t="s">
        <v>14</v>
      </c>
      <c r="B689" t="str">
        <f>VLOOKUP(Simulated_Dept_Data[[#This Row],[DepartmentID]],Table578[],2,FALSE)</f>
        <v>Misc</v>
      </c>
      <c r="C689">
        <v>2023</v>
      </c>
      <c r="D689">
        <v>4</v>
      </c>
      <c r="E689" t="str">
        <f>VLOOKUP(Simulated_Dept_Data[[#This Row],[SegmentID]],Table5[],2,FALSE)</f>
        <v>Infrequent Customers</v>
      </c>
      <c r="F689">
        <v>1</v>
      </c>
      <c r="G689" t="str">
        <f>IFERROR(VLOOKUP(Simulated_Dept_Data[[#This Row],[ProfileID]],Table57[],2,FALSE),"NO PROFILE")</f>
        <v>City Slickers</v>
      </c>
      <c r="H689">
        <v>32383.29</v>
      </c>
      <c r="I689">
        <v>4229</v>
      </c>
    </row>
    <row r="690" spans="1:9" x14ac:dyDescent="0.25">
      <c r="A690" t="s">
        <v>14</v>
      </c>
      <c r="B690" t="str">
        <f>VLOOKUP(Simulated_Dept_Data[[#This Row],[DepartmentID]],Table578[],2,FALSE)</f>
        <v>Misc</v>
      </c>
      <c r="C690">
        <v>2023</v>
      </c>
      <c r="D690">
        <v>4</v>
      </c>
      <c r="E690" t="str">
        <f>VLOOKUP(Simulated_Dept_Data[[#This Row],[SegmentID]],Table5[],2,FALSE)</f>
        <v>Infrequent Customers</v>
      </c>
      <c r="F690">
        <v>2</v>
      </c>
      <c r="G690" t="str">
        <f>IFERROR(VLOOKUP(Simulated_Dept_Data[[#This Row],[ProfileID]],Table57[],2,FALSE),"NO PROFILE")</f>
        <v>Rich &amp; Richer</v>
      </c>
      <c r="H690">
        <v>755.38</v>
      </c>
      <c r="I690">
        <v>646</v>
      </c>
    </row>
    <row r="691" spans="1:9" x14ac:dyDescent="0.25">
      <c r="A691" t="s">
        <v>14</v>
      </c>
      <c r="B691" t="str">
        <f>VLOOKUP(Simulated_Dept_Data[[#This Row],[DepartmentID]],Table578[],2,FALSE)</f>
        <v>Misc</v>
      </c>
      <c r="C691">
        <v>2023</v>
      </c>
      <c r="D691">
        <v>4</v>
      </c>
      <c r="E691" t="str">
        <f>VLOOKUP(Simulated_Dept_Data[[#This Row],[SegmentID]],Table5[],2,FALSE)</f>
        <v>Infrequent Customers</v>
      </c>
      <c r="F691">
        <v>3</v>
      </c>
      <c r="G691" t="str">
        <f>IFERROR(VLOOKUP(Simulated_Dept_Data[[#This Row],[ProfileID]],Table57[],2,FALSE),"NO PROFILE")</f>
        <v>Mr. &amp; Mrs. Smiths</v>
      </c>
      <c r="H691">
        <v>6387.05</v>
      </c>
      <c r="I691">
        <v>1878</v>
      </c>
    </row>
    <row r="692" spans="1:9" x14ac:dyDescent="0.25">
      <c r="A692" t="s">
        <v>14</v>
      </c>
      <c r="B692" t="str">
        <f>VLOOKUP(Simulated_Dept_Data[[#This Row],[DepartmentID]],Table578[],2,FALSE)</f>
        <v>Misc</v>
      </c>
      <c r="C692">
        <v>2023</v>
      </c>
      <c r="D692">
        <v>4</v>
      </c>
      <c r="E692" t="str">
        <f>VLOOKUP(Simulated_Dept_Data[[#This Row],[SegmentID]],Table5[],2,FALSE)</f>
        <v>Infrequent Customers</v>
      </c>
      <c r="F692">
        <v>4</v>
      </c>
      <c r="G692" t="str">
        <f>IFERROR(VLOOKUP(Simulated_Dept_Data[[#This Row],[ProfileID]],Table57[],2,FALSE),"NO PROFILE")</f>
        <v>Blue Collar Royalty</v>
      </c>
      <c r="H692">
        <v>30195.81</v>
      </c>
      <c r="I692">
        <v>4084</v>
      </c>
    </row>
    <row r="693" spans="1:9" x14ac:dyDescent="0.25">
      <c r="A693" t="s">
        <v>14</v>
      </c>
      <c r="B693" t="str">
        <f>VLOOKUP(Simulated_Dept_Data[[#This Row],[DepartmentID]],Table578[],2,FALSE)</f>
        <v>Misc</v>
      </c>
      <c r="C693">
        <v>2023</v>
      </c>
      <c r="D693">
        <v>4</v>
      </c>
      <c r="E693" t="str">
        <f>VLOOKUP(Simulated_Dept_Data[[#This Row],[SegmentID]],Table5[],2,FALSE)</f>
        <v>Infrequent Customers</v>
      </c>
      <c r="F693">
        <v>5</v>
      </c>
      <c r="G693" t="str">
        <f>IFERROR(VLOOKUP(Simulated_Dept_Data[[#This Row],[ProfileID]],Table57[],2,FALSE),"NO PROFILE")</f>
        <v>Pinched Pockets</v>
      </c>
      <c r="H693">
        <v>64.28</v>
      </c>
      <c r="I693">
        <v>188</v>
      </c>
    </row>
    <row r="694" spans="1:9" x14ac:dyDescent="0.25">
      <c r="A694" t="s">
        <v>14</v>
      </c>
      <c r="B694" t="str">
        <f>VLOOKUP(Simulated_Dept_Data[[#This Row],[DepartmentID]],Table578[],2,FALSE)</f>
        <v>Misc</v>
      </c>
      <c r="C694">
        <v>2023</v>
      </c>
      <c r="D694">
        <v>4</v>
      </c>
      <c r="E694" t="str">
        <f>VLOOKUP(Simulated_Dept_Data[[#This Row],[SegmentID]],Table5[],2,FALSE)</f>
        <v>Infrequent Customers</v>
      </c>
      <c r="F694">
        <v>6</v>
      </c>
      <c r="G694" t="str">
        <f>IFERROR(VLOOKUP(Simulated_Dept_Data[[#This Row],[ProfileID]],Table57[],2,FALSE),"NO PROFILE")</f>
        <v>Normal Families</v>
      </c>
      <c r="H694">
        <v>3246.58</v>
      </c>
      <c r="I694">
        <v>1339</v>
      </c>
    </row>
    <row r="695" spans="1:9" x14ac:dyDescent="0.25">
      <c r="A695" t="s">
        <v>14</v>
      </c>
      <c r="B695" t="str">
        <f>VLOOKUP(Simulated_Dept_Data[[#This Row],[DepartmentID]],Table578[],2,FALSE)</f>
        <v>Misc</v>
      </c>
      <c r="C695">
        <v>2023</v>
      </c>
      <c r="D695">
        <v>5</v>
      </c>
      <c r="E695" t="str">
        <f>VLOOKUP(Simulated_Dept_Data[[#This Row],[SegmentID]],Table5[],2,FALSE)</f>
        <v>New Customers</v>
      </c>
      <c r="G695" t="str">
        <f>IFERROR(VLOOKUP(Simulated_Dept_Data[[#This Row],[ProfileID]],Table57[],2,FALSE),"NO PROFILE")</f>
        <v>NO PROFILE</v>
      </c>
      <c r="H695">
        <v>28608.12</v>
      </c>
      <c r="I695">
        <v>3970</v>
      </c>
    </row>
    <row r="696" spans="1:9" x14ac:dyDescent="0.25">
      <c r="A696" t="s">
        <v>14</v>
      </c>
      <c r="B696" t="str">
        <f>VLOOKUP(Simulated_Dept_Data[[#This Row],[DepartmentID]],Table578[],2,FALSE)</f>
        <v>Misc</v>
      </c>
      <c r="C696">
        <v>2023</v>
      </c>
      <c r="D696">
        <v>5</v>
      </c>
      <c r="E696" t="str">
        <f>VLOOKUP(Simulated_Dept_Data[[#This Row],[SegmentID]],Table5[],2,FALSE)</f>
        <v>New Customers</v>
      </c>
      <c r="F696">
        <v>1</v>
      </c>
      <c r="G696" t="str">
        <f>IFERROR(VLOOKUP(Simulated_Dept_Data[[#This Row],[ProfileID]],Table57[],2,FALSE),"NO PROFILE")</f>
        <v>City Slickers</v>
      </c>
      <c r="H696">
        <v>9647.16</v>
      </c>
      <c r="I696">
        <v>2306</v>
      </c>
    </row>
    <row r="697" spans="1:9" x14ac:dyDescent="0.25">
      <c r="A697" t="s">
        <v>14</v>
      </c>
      <c r="B697" t="str">
        <f>VLOOKUP(Simulated_Dept_Data[[#This Row],[DepartmentID]],Table578[],2,FALSE)</f>
        <v>Misc</v>
      </c>
      <c r="C697">
        <v>2023</v>
      </c>
      <c r="D697">
        <v>5</v>
      </c>
      <c r="E697" t="str">
        <f>VLOOKUP(Simulated_Dept_Data[[#This Row],[SegmentID]],Table5[],2,FALSE)</f>
        <v>New Customers</v>
      </c>
      <c r="F697">
        <v>2</v>
      </c>
      <c r="G697" t="str">
        <f>IFERROR(VLOOKUP(Simulated_Dept_Data[[#This Row],[ProfileID]],Table57[],2,FALSE),"NO PROFILE")</f>
        <v>Rich &amp; Richer</v>
      </c>
      <c r="H697">
        <v>20734.48</v>
      </c>
      <c r="I697">
        <v>3380</v>
      </c>
    </row>
    <row r="698" spans="1:9" x14ac:dyDescent="0.25">
      <c r="A698" t="s">
        <v>14</v>
      </c>
      <c r="B698" t="str">
        <f>VLOOKUP(Simulated_Dept_Data[[#This Row],[DepartmentID]],Table578[],2,FALSE)</f>
        <v>Misc</v>
      </c>
      <c r="C698">
        <v>2023</v>
      </c>
      <c r="D698">
        <v>5</v>
      </c>
      <c r="E698" t="str">
        <f>VLOOKUP(Simulated_Dept_Data[[#This Row],[SegmentID]],Table5[],2,FALSE)</f>
        <v>New Customers</v>
      </c>
      <c r="F698">
        <v>3</v>
      </c>
      <c r="G698" t="str">
        <f>IFERROR(VLOOKUP(Simulated_Dept_Data[[#This Row],[ProfileID]],Table57[],2,FALSE),"NO PROFILE")</f>
        <v>Mr. &amp; Mrs. Smiths</v>
      </c>
      <c r="H698">
        <v>31718.52</v>
      </c>
      <c r="I698">
        <v>4181</v>
      </c>
    </row>
    <row r="699" spans="1:9" x14ac:dyDescent="0.25">
      <c r="A699" t="s">
        <v>14</v>
      </c>
      <c r="B699" t="str">
        <f>VLOOKUP(Simulated_Dept_Data[[#This Row],[DepartmentID]],Table578[],2,FALSE)</f>
        <v>Misc</v>
      </c>
      <c r="C699">
        <v>2023</v>
      </c>
      <c r="D699">
        <v>5</v>
      </c>
      <c r="E699" t="str">
        <f>VLOOKUP(Simulated_Dept_Data[[#This Row],[SegmentID]],Table5[],2,FALSE)</f>
        <v>New Customers</v>
      </c>
      <c r="F699">
        <v>4</v>
      </c>
      <c r="G699" t="str">
        <f>IFERROR(VLOOKUP(Simulated_Dept_Data[[#This Row],[ProfileID]],Table57[],2,FALSE),"NO PROFILE")</f>
        <v>Blue Collar Royalty</v>
      </c>
      <c r="H699">
        <v>39.53</v>
      </c>
      <c r="I699">
        <v>148</v>
      </c>
    </row>
    <row r="700" spans="1:9" x14ac:dyDescent="0.25">
      <c r="A700" t="s">
        <v>14</v>
      </c>
      <c r="B700" t="str">
        <f>VLOOKUP(Simulated_Dept_Data[[#This Row],[DepartmentID]],Table578[],2,FALSE)</f>
        <v>Misc</v>
      </c>
      <c r="C700">
        <v>2023</v>
      </c>
      <c r="D700">
        <v>5</v>
      </c>
      <c r="E700" t="str">
        <f>VLOOKUP(Simulated_Dept_Data[[#This Row],[SegmentID]],Table5[],2,FALSE)</f>
        <v>New Customers</v>
      </c>
      <c r="F700">
        <v>5</v>
      </c>
      <c r="G700" t="str">
        <f>IFERROR(VLOOKUP(Simulated_Dept_Data[[#This Row],[ProfileID]],Table57[],2,FALSE),"NO PROFILE")</f>
        <v>Pinched Pockets</v>
      </c>
      <c r="H700">
        <v>48.21</v>
      </c>
      <c r="I700">
        <v>163</v>
      </c>
    </row>
    <row r="701" spans="1:9" x14ac:dyDescent="0.25">
      <c r="A701" t="s">
        <v>14</v>
      </c>
      <c r="B701" t="str">
        <f>VLOOKUP(Simulated_Dept_Data[[#This Row],[DepartmentID]],Table578[],2,FALSE)</f>
        <v>Misc</v>
      </c>
      <c r="C701">
        <v>2023</v>
      </c>
      <c r="D701">
        <v>5</v>
      </c>
      <c r="E701" t="str">
        <f>VLOOKUP(Simulated_Dept_Data[[#This Row],[SegmentID]],Table5[],2,FALSE)</f>
        <v>New Customers</v>
      </c>
      <c r="F701">
        <v>6</v>
      </c>
      <c r="G701" t="str">
        <f>IFERROR(VLOOKUP(Simulated_Dept_Data[[#This Row],[ProfileID]],Table57[],2,FALSE),"NO PROFILE")</f>
        <v>Normal Families</v>
      </c>
      <c r="H701">
        <v>240.83</v>
      </c>
      <c r="I701">
        <v>364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0C09C-1AC7-4D86-BDB3-EF341927EF14}">
  <sheetPr>
    <tabColor theme="4" tint="0.79998168889431442"/>
  </sheetPr>
  <dimension ref="A1:B6"/>
  <sheetViews>
    <sheetView showGridLines="0" workbookViewId="0">
      <selection activeCell="A2" sqref="A2"/>
    </sheetView>
  </sheetViews>
  <sheetFormatPr defaultRowHeight="15" x14ac:dyDescent="0.25"/>
  <cols>
    <col min="1" max="1" width="13" bestFit="1" customWidth="1"/>
    <col min="2" max="2" width="20.5703125" bestFit="1" customWidth="1"/>
  </cols>
  <sheetData>
    <row r="1" spans="1:2" x14ac:dyDescent="0.25">
      <c r="A1" t="s">
        <v>1</v>
      </c>
      <c r="B1" t="s">
        <v>20</v>
      </c>
    </row>
    <row r="2" spans="1:2" x14ac:dyDescent="0.25">
      <c r="A2">
        <v>1</v>
      </c>
      <c r="B2" t="s">
        <v>17</v>
      </c>
    </row>
    <row r="3" spans="1:2" x14ac:dyDescent="0.25">
      <c r="A3">
        <v>2</v>
      </c>
      <c r="B3" t="s">
        <v>15</v>
      </c>
    </row>
    <row r="4" spans="1:2" x14ac:dyDescent="0.25">
      <c r="A4">
        <v>3</v>
      </c>
      <c r="B4" t="s">
        <v>16</v>
      </c>
    </row>
    <row r="5" spans="1:2" x14ac:dyDescent="0.25">
      <c r="A5">
        <v>4</v>
      </c>
      <c r="B5" t="s">
        <v>18</v>
      </c>
    </row>
    <row r="6" spans="1:2" x14ac:dyDescent="0.25">
      <c r="A6">
        <v>5</v>
      </c>
      <c r="B6" t="s">
        <v>19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00029-23ED-4909-9733-C6B8B42DB2FB}">
  <sheetPr>
    <tabColor theme="4" tint="0.79998168889431442"/>
  </sheetPr>
  <dimension ref="A1:B7"/>
  <sheetViews>
    <sheetView showGridLines="0" workbookViewId="0">
      <selection activeCell="A2" sqref="A2"/>
    </sheetView>
  </sheetViews>
  <sheetFormatPr defaultRowHeight="15" x14ac:dyDescent="0.25"/>
  <cols>
    <col min="1" max="1" width="13" bestFit="1" customWidth="1"/>
    <col min="2" max="2" width="20.5703125" bestFit="1" customWidth="1"/>
  </cols>
  <sheetData>
    <row r="1" spans="1:2" x14ac:dyDescent="0.25">
      <c r="A1" t="s">
        <v>0</v>
      </c>
      <c r="B1" t="s">
        <v>21</v>
      </c>
    </row>
    <row r="2" spans="1:2" x14ac:dyDescent="0.25">
      <c r="A2">
        <v>1</v>
      </c>
      <c r="B2" t="s">
        <v>22</v>
      </c>
    </row>
    <row r="3" spans="1:2" x14ac:dyDescent="0.25">
      <c r="A3">
        <v>2</v>
      </c>
      <c r="B3" t="s">
        <v>23</v>
      </c>
    </row>
    <row r="4" spans="1:2" x14ac:dyDescent="0.25">
      <c r="A4">
        <v>3</v>
      </c>
      <c r="B4" t="s">
        <v>25</v>
      </c>
    </row>
    <row r="5" spans="1:2" x14ac:dyDescent="0.25">
      <c r="A5">
        <v>4</v>
      </c>
      <c r="B5" t="s">
        <v>24</v>
      </c>
    </row>
    <row r="6" spans="1:2" x14ac:dyDescent="0.25">
      <c r="A6">
        <v>5</v>
      </c>
      <c r="B6" t="s">
        <v>26</v>
      </c>
    </row>
    <row r="7" spans="1:2" x14ac:dyDescent="0.25">
      <c r="A7">
        <v>6</v>
      </c>
      <c r="B7" t="s">
        <v>27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BB3F3-B079-43D6-81D2-61A94652B7E3}">
  <sheetPr>
    <tabColor theme="4" tint="0.79998168889431442"/>
  </sheetPr>
  <dimension ref="A1:B11"/>
  <sheetViews>
    <sheetView showGridLines="0" workbookViewId="0"/>
  </sheetViews>
  <sheetFormatPr defaultRowHeight="15" x14ac:dyDescent="0.25"/>
  <cols>
    <col min="1" max="1" width="16" bestFit="1" customWidth="1"/>
    <col min="2" max="2" width="20.140625" bestFit="1" customWidth="1"/>
  </cols>
  <sheetData>
    <row r="1" spans="1:2" x14ac:dyDescent="0.25">
      <c r="A1" t="s">
        <v>40</v>
      </c>
      <c r="B1" t="s">
        <v>41</v>
      </c>
    </row>
    <row r="2" spans="1:2" x14ac:dyDescent="0.25">
      <c r="A2" t="s">
        <v>2</v>
      </c>
      <c r="B2" t="s">
        <v>30</v>
      </c>
    </row>
    <row r="3" spans="1:2" x14ac:dyDescent="0.25">
      <c r="A3" t="s">
        <v>3</v>
      </c>
      <c r="B3" t="s">
        <v>31</v>
      </c>
    </row>
    <row r="4" spans="1:2" x14ac:dyDescent="0.25">
      <c r="A4" t="s">
        <v>7</v>
      </c>
      <c r="B4" t="s">
        <v>32</v>
      </c>
    </row>
    <row r="5" spans="1:2" x14ac:dyDescent="0.25">
      <c r="A5" t="s">
        <v>8</v>
      </c>
      <c r="B5" t="s">
        <v>33</v>
      </c>
    </row>
    <row r="6" spans="1:2" x14ac:dyDescent="0.25">
      <c r="A6" t="s">
        <v>9</v>
      </c>
      <c r="B6" t="s">
        <v>34</v>
      </c>
    </row>
    <row r="7" spans="1:2" x14ac:dyDescent="0.25">
      <c r="A7" t="s">
        <v>10</v>
      </c>
      <c r="B7" t="s">
        <v>35</v>
      </c>
    </row>
    <row r="8" spans="1:2" x14ac:dyDescent="0.25">
      <c r="A8" t="s">
        <v>11</v>
      </c>
      <c r="B8" t="s">
        <v>37</v>
      </c>
    </row>
    <row r="9" spans="1:2" x14ac:dyDescent="0.25">
      <c r="A9" t="s">
        <v>12</v>
      </c>
      <c r="B9" t="s">
        <v>36</v>
      </c>
    </row>
    <row r="10" spans="1:2" x14ac:dyDescent="0.25">
      <c r="A10" t="s">
        <v>13</v>
      </c>
      <c r="B10" t="s">
        <v>29</v>
      </c>
    </row>
    <row r="11" spans="1:2" x14ac:dyDescent="0.25">
      <c r="A11" t="s">
        <v>14</v>
      </c>
      <c r="B11" t="s">
        <v>28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7E11DB-784C-4B8C-841B-F44333F772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Sheet1</vt:lpstr>
      <vt:lpstr>Dept Data</vt:lpstr>
      <vt:lpstr>Segments</vt:lpstr>
      <vt:lpstr>Profiles</vt:lpstr>
      <vt:lpstr>Departments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Scott</dc:creator>
  <cp:lastModifiedBy>Samuel Fernandes</cp:lastModifiedBy>
  <dcterms:created xsi:type="dcterms:W3CDTF">2019-01-04T21:22:23Z</dcterms:created>
  <dcterms:modified xsi:type="dcterms:W3CDTF">2025-04-14T20:06:07Z</dcterms:modified>
</cp:coreProperties>
</file>